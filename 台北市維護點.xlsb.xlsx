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noldlei\Desktop\點位\"/>
    </mc:Choice>
  </mc:AlternateContent>
  <xr:revisionPtr revIDLastSave="0" documentId="13_ncr:1_{6CF9700B-8B46-4554-8BF1-8AED34CA0BAA}" xr6:coauthVersionLast="47" xr6:coauthVersionMax="47" xr10:uidLastSave="{00000000-0000-0000-0000-000000000000}"/>
  <bookViews>
    <workbookView xWindow="-110" yWindow="-110" windowWidth="19420" windowHeight="10300" tabRatio="724" activeTab="9" xr2:uid="{00000000-000D-0000-FFFF-FFFF00000000}"/>
  </bookViews>
  <sheets>
    <sheet name="大安區" sheetId="13" r:id="rId1"/>
    <sheet name="信義" sheetId="33" r:id="rId2"/>
    <sheet name="萬華" sheetId="32" r:id="rId3"/>
    <sheet name="文山區" sheetId="11" r:id="rId4"/>
    <sheet name="新店" sheetId="29" r:id="rId5"/>
    <sheet name="南港" sheetId="28" r:id="rId6"/>
    <sheet name="汐止" sheetId="31" r:id="rId7"/>
    <sheet name="內湖" sheetId="27" r:id="rId8"/>
    <sheet name="山區" sheetId="26" r:id="rId9"/>
    <sheet name="基隆" sheetId="34" r:id="rId10"/>
    <sheet name="內湖區" sheetId="10" state="hidden" r:id="rId11"/>
    <sheet name="中正區" sheetId="8" state="hidden" r:id="rId12"/>
    <sheet name="大同區" sheetId="7" state="hidden" r:id="rId13"/>
    <sheet name="信義區" sheetId="6" state="hidden" r:id="rId14"/>
    <sheet name="中山區" sheetId="5" state="hidden" r:id="rId15"/>
    <sheet name="松山區" sheetId="4" state="hidden" r:id="rId16"/>
    <sheet name="萬華區" sheetId="3" state="hidden" r:id="rId17"/>
  </sheets>
  <definedNames>
    <definedName name="_xlnm._FilterDatabase" localSheetId="12" hidden="1">大同區!$A$1:$J$1</definedName>
    <definedName name="_xlnm._FilterDatabase" localSheetId="0" hidden="1">大安區!$B$1:$J$98</definedName>
    <definedName name="_xlnm._FilterDatabase" localSheetId="8" hidden="1">山區!$A$1:$J$19</definedName>
    <definedName name="_xlnm._FilterDatabase" localSheetId="14" hidden="1">中山區!$A$1:$J$1</definedName>
    <definedName name="_xlnm._FilterDatabase" localSheetId="11" hidden="1">中正區!$A$1:$J$1</definedName>
    <definedName name="_xlnm._FilterDatabase" localSheetId="7" hidden="1">內湖!$A$1:$J$1</definedName>
    <definedName name="_xlnm._FilterDatabase" localSheetId="10" hidden="1">內湖區!$A$1:$J$1</definedName>
    <definedName name="_xlnm._FilterDatabase" localSheetId="3" hidden="1">文山區!$A$1:$J$1</definedName>
    <definedName name="_xlnm._FilterDatabase" localSheetId="6" hidden="1">汐止!$A$1:$J$1</definedName>
    <definedName name="_xlnm._FilterDatabase" localSheetId="15" hidden="1">松山區!$A$1:$J$1</definedName>
    <definedName name="_xlnm._FilterDatabase" localSheetId="13" hidden="1">信義區!$A$1:$J$1</definedName>
    <definedName name="_xlnm._FilterDatabase" localSheetId="5" hidden="1">南港!$A$1:$J$1</definedName>
    <definedName name="_xlnm._FilterDatabase" localSheetId="4" hidden="1">新店!$A$1:$J$39</definedName>
    <definedName name="_xlnm._FilterDatabase" localSheetId="16" hidden="1">萬華區!$A$1:$J$1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34" l="1"/>
  <c r="F3" i="34"/>
  <c r="F4" i="34"/>
  <c r="F5" i="34"/>
  <c r="F6" i="34"/>
  <c r="F7" i="34"/>
  <c r="F8" i="34"/>
  <c r="F9" i="34"/>
  <c r="F10" i="34"/>
  <c r="F11" i="34"/>
  <c r="F12" i="34"/>
  <c r="F13" i="34"/>
  <c r="F14" i="34"/>
  <c r="F15" i="34"/>
  <c r="F16" i="34"/>
  <c r="F17" i="34"/>
  <c r="F18" i="34"/>
  <c r="F19" i="34"/>
  <c r="F20" i="34"/>
  <c r="F21" i="34"/>
  <c r="F22" i="34"/>
  <c r="F24" i="34"/>
  <c r="F25" i="34"/>
  <c r="F26" i="34"/>
  <c r="F27" i="34"/>
  <c r="F28" i="34"/>
  <c r="F29" i="34"/>
  <c r="F30" i="34"/>
  <c r="F31" i="34"/>
  <c r="F32" i="34"/>
  <c r="F33" i="34"/>
  <c r="F34" i="34"/>
  <c r="F2" i="34"/>
  <c r="I35" i="34"/>
  <c r="I34" i="34"/>
  <c r="I33" i="34"/>
  <c r="I32" i="34"/>
  <c r="I31" i="34"/>
  <c r="I30" i="34"/>
  <c r="I29" i="34"/>
  <c r="I28" i="34"/>
  <c r="I27" i="34"/>
  <c r="I26" i="34"/>
  <c r="I25" i="34"/>
  <c r="I24" i="34"/>
  <c r="I23" i="34"/>
  <c r="I22" i="34"/>
  <c r="I21" i="34"/>
  <c r="I20" i="34"/>
  <c r="I19" i="34"/>
  <c r="I18" i="34"/>
  <c r="I17" i="34"/>
  <c r="I16" i="34"/>
  <c r="I15" i="34"/>
  <c r="I14" i="34"/>
  <c r="I13" i="34"/>
  <c r="I12" i="34"/>
  <c r="I11" i="34"/>
  <c r="I10" i="34"/>
  <c r="I9" i="34"/>
  <c r="I8" i="34"/>
  <c r="I7" i="34"/>
  <c r="I6" i="34"/>
  <c r="I5" i="34"/>
  <c r="I4" i="34"/>
  <c r="I3" i="34"/>
  <c r="I2" i="34"/>
  <c r="F4" i="13"/>
  <c r="F5" i="13"/>
  <c r="F20" i="13"/>
  <c r="F18" i="13"/>
  <c r="F16" i="11"/>
  <c r="F17" i="11"/>
  <c r="E3" i="33"/>
  <c r="E4" i="33"/>
  <c r="E5" i="33"/>
  <c r="E6" i="33"/>
  <c r="E7" i="33"/>
  <c r="E8" i="33"/>
  <c r="E9" i="33"/>
  <c r="E10" i="33"/>
  <c r="E11" i="33"/>
  <c r="E12" i="33"/>
  <c r="E13" i="33"/>
  <c r="E14" i="33"/>
  <c r="E2" i="33"/>
  <c r="F15" i="26" l="1"/>
  <c r="F16" i="26"/>
  <c r="F11" i="26"/>
  <c r="F12" i="26"/>
  <c r="F13" i="26"/>
  <c r="F14" i="26"/>
  <c r="E10" i="32"/>
  <c r="E9" i="32"/>
  <c r="E8" i="32"/>
  <c r="E7" i="32"/>
  <c r="E6" i="32"/>
  <c r="E5" i="32"/>
  <c r="E4" i="32"/>
  <c r="E3" i="32"/>
  <c r="E2" i="32"/>
  <c r="F2" i="13" l="1"/>
  <c r="F5" i="11"/>
  <c r="F9" i="26"/>
  <c r="F3" i="29"/>
  <c r="F4" i="29"/>
  <c r="F5" i="29"/>
  <c r="F6" i="29"/>
  <c r="F7" i="29"/>
  <c r="F8" i="29"/>
  <c r="F9" i="29"/>
  <c r="F10" i="29"/>
  <c r="F11" i="29"/>
  <c r="F12" i="29"/>
  <c r="F13" i="29"/>
  <c r="F14" i="29"/>
  <c r="F15" i="29"/>
  <c r="F16" i="29"/>
  <c r="F17" i="29"/>
  <c r="F18" i="29"/>
  <c r="F19" i="29"/>
  <c r="F20" i="29"/>
  <c r="F21" i="29"/>
  <c r="F22" i="29"/>
  <c r="F23" i="29"/>
  <c r="F24" i="29"/>
  <c r="F25" i="29"/>
  <c r="F26" i="29"/>
  <c r="F27" i="29"/>
  <c r="F28" i="29"/>
  <c r="F29" i="29"/>
  <c r="F30" i="29"/>
  <c r="F2" i="29"/>
  <c r="F19" i="28" l="1"/>
  <c r="F18" i="28"/>
  <c r="F17" i="28"/>
  <c r="F16" i="28"/>
  <c r="F15" i="28"/>
  <c r="F14" i="28"/>
  <c r="F13" i="28"/>
  <c r="F12" i="28"/>
  <c r="F11" i="28"/>
  <c r="F10" i="28"/>
  <c r="F9" i="28"/>
  <c r="F8" i="28"/>
  <c r="F7" i="28"/>
  <c r="F6" i="28"/>
  <c r="F5" i="28"/>
  <c r="F4" i="28"/>
  <c r="F3" i="28"/>
  <c r="F2" i="28"/>
  <c r="F3" i="27"/>
  <c r="F4" i="27"/>
  <c r="F5" i="27"/>
  <c r="F6" i="27"/>
  <c r="F7" i="27"/>
  <c r="F8" i="27"/>
  <c r="F9" i="27"/>
  <c r="F10" i="27"/>
  <c r="F11" i="27"/>
  <c r="F12" i="27"/>
  <c r="F13" i="27"/>
  <c r="F14" i="27"/>
  <c r="F15" i="27"/>
  <c r="F16" i="27"/>
  <c r="F17" i="27"/>
  <c r="F2" i="27"/>
  <c r="F12" i="31"/>
  <c r="F13" i="31"/>
  <c r="F14" i="31"/>
  <c r="F15" i="31"/>
  <c r="F3" i="31"/>
  <c r="F4" i="31"/>
  <c r="F5" i="31"/>
  <c r="F6" i="31"/>
  <c r="F7" i="31"/>
  <c r="F8" i="31"/>
  <c r="F9" i="31"/>
  <c r="F10" i="31"/>
  <c r="F11" i="31"/>
  <c r="F2" i="31"/>
  <c r="F3" i="26" l="1"/>
  <c r="F4" i="26"/>
  <c r="F5" i="26"/>
  <c r="F6" i="26"/>
  <c r="F7" i="26"/>
  <c r="F8" i="26"/>
  <c r="F10" i="26"/>
  <c r="F2" i="26"/>
  <c r="F4" i="11" l="1"/>
  <c r="F41" i="13" l="1"/>
  <c r="F3" i="11"/>
  <c r="F6" i="11"/>
  <c r="F7" i="11"/>
  <c r="F8" i="11"/>
  <c r="F9" i="11"/>
  <c r="F10" i="11"/>
  <c r="F11" i="11"/>
  <c r="F12" i="11"/>
  <c r="F13" i="11"/>
  <c r="F14" i="11"/>
  <c r="F15" i="11"/>
  <c r="F18" i="11"/>
  <c r="F2" i="11"/>
  <c r="F29" i="13"/>
  <c r="F3" i="13"/>
  <c r="F6" i="13"/>
  <c r="F7" i="13"/>
  <c r="F8" i="13"/>
  <c r="F9" i="13"/>
  <c r="F10" i="13"/>
  <c r="F11" i="13"/>
  <c r="F12" i="13"/>
  <c r="F13" i="13"/>
  <c r="F14" i="13"/>
  <c r="F15" i="13"/>
  <c r="F16" i="13"/>
  <c r="F17" i="13"/>
  <c r="F19" i="13"/>
  <c r="F21" i="13"/>
  <c r="F22" i="13"/>
  <c r="F23" i="13"/>
  <c r="F24" i="13"/>
  <c r="F25" i="13"/>
  <c r="F26" i="13"/>
  <c r="F27" i="13"/>
  <c r="F28" i="13"/>
  <c r="F30" i="13"/>
  <c r="F31" i="13"/>
  <c r="F32" i="13"/>
  <c r="F33" i="13"/>
  <c r="F34" i="13"/>
  <c r="F35" i="13"/>
  <c r="F36" i="13"/>
  <c r="F37" i="13"/>
  <c r="F38" i="13"/>
  <c r="F39" i="13"/>
  <c r="F40" i="13"/>
  <c r="F42" i="13"/>
  <c r="F43" i="13"/>
  <c r="F44" i="13"/>
  <c r="F45" i="13"/>
  <c r="F46" i="13"/>
  <c r="F47" i="13"/>
  <c r="F48" i="13"/>
  <c r="F49" i="13"/>
  <c r="F50" i="13"/>
  <c r="F51" i="13"/>
  <c r="F52" i="13"/>
  <c r="F53" i="13"/>
  <c r="F54" i="13"/>
  <c r="F55" i="13"/>
  <c r="F56" i="13"/>
  <c r="F57" i="13"/>
  <c r="F58" i="13"/>
  <c r="F59" i="13"/>
  <c r="F60" i="13"/>
  <c r="F61" i="13"/>
  <c r="F62" i="13"/>
  <c r="F63" i="13"/>
  <c r="F64" i="13"/>
  <c r="F65" i="13"/>
  <c r="F66" i="13"/>
  <c r="F67" i="13"/>
  <c r="F68" i="13"/>
  <c r="F69" i="13"/>
  <c r="F70" i="13"/>
  <c r="F71" i="13"/>
  <c r="F72" i="13"/>
  <c r="F73" i="13"/>
  <c r="F74" i="13"/>
  <c r="F75" i="13"/>
  <c r="F76" i="13"/>
  <c r="F77" i="13"/>
  <c r="F78" i="13"/>
  <c r="F79" i="13"/>
  <c r="F80" i="13"/>
  <c r="F81" i="13"/>
  <c r="F82" i="13"/>
  <c r="F83" i="13"/>
  <c r="F84" i="13"/>
  <c r="F85" i="13"/>
  <c r="F86" i="13"/>
  <c r="F87" i="13"/>
  <c r="F88" i="13"/>
  <c r="F89" i="13"/>
  <c r="F90" i="13"/>
  <c r="F91" i="13"/>
  <c r="F92" i="13"/>
  <c r="F93" i="13"/>
  <c r="F94" i="13"/>
  <c r="F95" i="13"/>
  <c r="F96" i="13"/>
  <c r="F97" i="13"/>
  <c r="F98" i="13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</calcChain>
</file>

<file path=xl/sharedStrings.xml><?xml version="1.0" encoding="utf-8"?>
<sst xmlns="http://schemas.openxmlformats.org/spreadsheetml/2006/main" count="4026" uniqueCount="587">
  <si>
    <t>客戶別</t>
    <phoneticPr fontId="1" type="noConversion"/>
  </si>
  <si>
    <t>客戶名</t>
    <phoneticPr fontId="1" type="noConversion"/>
  </si>
  <si>
    <t>縣市別</t>
    <phoneticPr fontId="1" type="noConversion"/>
  </si>
  <si>
    <t>轄區</t>
    <phoneticPr fontId="1" type="noConversion"/>
  </si>
  <si>
    <t>案號</t>
    <phoneticPr fontId="1" type="noConversion"/>
  </si>
  <si>
    <t>合約起始日</t>
    <phoneticPr fontId="1" type="noConversion"/>
  </si>
  <si>
    <t>合約到期日</t>
    <phoneticPr fontId="1" type="noConversion"/>
  </si>
  <si>
    <t>備註</t>
    <phoneticPr fontId="1" type="noConversion"/>
  </si>
  <si>
    <t>上次維護日期</t>
    <phoneticPr fontId="1" type="noConversion"/>
  </si>
  <si>
    <t>本次維護日期</t>
    <phoneticPr fontId="1" type="noConversion"/>
  </si>
  <si>
    <t>POST</t>
  </si>
  <si>
    <t>臺北西園</t>
    <phoneticPr fontId="1" type="noConversion"/>
  </si>
  <si>
    <t>臺北東園</t>
    <phoneticPr fontId="1" type="noConversion"/>
  </si>
  <si>
    <t>臺北青年</t>
    <phoneticPr fontId="1" type="noConversion"/>
  </si>
  <si>
    <t>臺北莒光</t>
    <phoneticPr fontId="1" type="noConversion"/>
  </si>
  <si>
    <t>臺北華江橋</t>
    <phoneticPr fontId="1" type="noConversion"/>
  </si>
  <si>
    <t>臺北萬大路</t>
    <phoneticPr fontId="1" type="noConversion"/>
  </si>
  <si>
    <t>臺北漢中街</t>
    <phoneticPr fontId="1" type="noConversion"/>
  </si>
  <si>
    <t>臺北老松</t>
    <phoneticPr fontId="1" type="noConversion"/>
  </si>
  <si>
    <t>台北市</t>
  </si>
  <si>
    <t>萬華區</t>
    <phoneticPr fontId="1" type="noConversion"/>
  </si>
  <si>
    <t>SAL17-J004</t>
  </si>
  <si>
    <t>SAL16-J086</t>
  </si>
  <si>
    <t>JS120-J008</t>
  </si>
  <si>
    <t>HNCB</t>
  </si>
  <si>
    <t>西門</t>
    <phoneticPr fontId="1" type="noConversion"/>
  </si>
  <si>
    <t>萬華</t>
    <phoneticPr fontId="1" type="noConversion"/>
  </si>
  <si>
    <t>雙園</t>
    <phoneticPr fontId="1" type="noConversion"/>
  </si>
  <si>
    <t>SMRO21-J008</t>
  </si>
  <si>
    <t>106.10.1</t>
    <phoneticPr fontId="5" type="noConversion"/>
  </si>
  <si>
    <t>106.03.01</t>
    <phoneticPr fontId="5" type="noConversion"/>
  </si>
  <si>
    <t>111.02.28</t>
  </si>
  <si>
    <t>111.9.30</t>
    <phoneticPr fontId="5" type="noConversion"/>
  </si>
  <si>
    <t>109.11.1</t>
    <phoneticPr fontId="5" type="noConversion"/>
  </si>
  <si>
    <t>114.10.31</t>
    <phoneticPr fontId="5" type="noConversion"/>
  </si>
  <si>
    <t>110.01.01</t>
    <phoneticPr fontId="5" type="noConversion"/>
  </si>
  <si>
    <t>110.12.31</t>
    <phoneticPr fontId="5" type="noConversion"/>
  </si>
  <si>
    <t>FCB</t>
  </si>
  <si>
    <t>西門</t>
    <phoneticPr fontId="1" type="noConversion"/>
  </si>
  <si>
    <t>國稅局</t>
    <phoneticPr fontId="1" type="noConversion"/>
  </si>
  <si>
    <t>萬華</t>
    <phoneticPr fontId="1" type="noConversion"/>
  </si>
  <si>
    <t>雙園</t>
    <phoneticPr fontId="1" type="noConversion"/>
  </si>
  <si>
    <t>100-003</t>
  </si>
  <si>
    <t>106-004</t>
  </si>
  <si>
    <t>107-028</t>
  </si>
  <si>
    <t>95-038</t>
  </si>
  <si>
    <t>98-184</t>
  </si>
  <si>
    <t>102-002</t>
  </si>
  <si>
    <t>110.2.4</t>
    <phoneticPr fontId="5" type="noConversion"/>
  </si>
  <si>
    <t>111.2.3</t>
    <phoneticPr fontId="5" type="noConversion"/>
  </si>
  <si>
    <t>107.8.30</t>
    <phoneticPr fontId="5" type="noConversion"/>
  </si>
  <si>
    <t>111.8.29</t>
    <phoneticPr fontId="5" type="noConversion"/>
  </si>
  <si>
    <t>110.3.1</t>
    <phoneticPr fontId="5" type="noConversion"/>
  </si>
  <si>
    <t>111.2.28</t>
    <phoneticPr fontId="5" type="noConversion"/>
  </si>
  <si>
    <t>110.11.1</t>
    <phoneticPr fontId="5" type="noConversion"/>
  </si>
  <si>
    <t>111.10.31</t>
    <phoneticPr fontId="5" type="noConversion"/>
  </si>
  <si>
    <t>110.03.1</t>
    <phoneticPr fontId="5" type="noConversion"/>
  </si>
  <si>
    <t>111.2.28</t>
    <phoneticPr fontId="5" type="noConversion"/>
  </si>
  <si>
    <t>BOT</t>
  </si>
  <si>
    <t>龍山</t>
    <phoneticPr fontId="1" type="noConversion"/>
  </si>
  <si>
    <t>SMRN20-J019</t>
  </si>
  <si>
    <t>109.06.05</t>
    <phoneticPr fontId="5" type="noConversion"/>
  </si>
  <si>
    <t>111.06.04</t>
    <phoneticPr fontId="5" type="noConversion"/>
  </si>
  <si>
    <t>台北市</t>
    <phoneticPr fontId="1" type="noConversion"/>
  </si>
  <si>
    <t>大安區</t>
    <phoneticPr fontId="1" type="noConversion"/>
  </si>
  <si>
    <t>JS119-J004</t>
  </si>
  <si>
    <t>臺北青田</t>
  </si>
  <si>
    <t>臺大</t>
  </si>
  <si>
    <t>臺北公館</t>
  </si>
  <si>
    <t>臺北安和</t>
  </si>
  <si>
    <t>臺北成功</t>
  </si>
  <si>
    <t>臺北敦南</t>
  </si>
  <si>
    <t>臺北正義</t>
  </si>
  <si>
    <t>臺北光武</t>
  </si>
  <si>
    <t>臺北金南</t>
  </si>
  <si>
    <t>SA218-J002</t>
  </si>
  <si>
    <t>臺北大安</t>
  </si>
  <si>
    <t>SA218-J028</t>
  </si>
  <si>
    <t>大安</t>
  </si>
  <si>
    <t>2021/01/01</t>
    <phoneticPr fontId="1" type="noConversion"/>
  </si>
  <si>
    <t>2021/12/31</t>
    <phoneticPr fontId="1" type="noConversion"/>
  </si>
  <si>
    <t>公館</t>
  </si>
  <si>
    <t>台大</t>
  </si>
  <si>
    <t>和平</t>
  </si>
  <si>
    <t>信義</t>
  </si>
  <si>
    <t>信維-證券延伸櫃台</t>
  </si>
  <si>
    <t>PSA17-J048</t>
  </si>
  <si>
    <t>新生-證券延伸櫃台</t>
  </si>
  <si>
    <t>懷生-證券延伸櫃台</t>
  </si>
  <si>
    <t>仁和</t>
  </si>
  <si>
    <t>仁愛</t>
  </si>
  <si>
    <t>世貿</t>
  </si>
  <si>
    <t>延吉</t>
  </si>
  <si>
    <t>忠孝</t>
  </si>
  <si>
    <t>金山</t>
  </si>
  <si>
    <t>信安</t>
  </si>
  <si>
    <t>愛國簡易</t>
  </si>
  <si>
    <t>立法院</t>
  </si>
  <si>
    <t>中正區</t>
    <phoneticPr fontId="1" type="noConversion"/>
  </si>
  <si>
    <t>國史館</t>
  </si>
  <si>
    <t>臺北東門</t>
  </si>
  <si>
    <t>臺北杭南</t>
  </si>
  <si>
    <t>臺北法院</t>
  </si>
  <si>
    <t>臺北南陽</t>
  </si>
  <si>
    <t>臺北復興橋</t>
  </si>
  <si>
    <t>臺北螢橋</t>
  </si>
  <si>
    <t>臺北龍口</t>
  </si>
  <si>
    <t>總統府</t>
  </si>
  <si>
    <t>提前一星期預約，總統府後門進入</t>
    <phoneticPr fontId="1" type="noConversion"/>
  </si>
  <si>
    <t>行政院</t>
  </si>
  <si>
    <t>監察院</t>
  </si>
  <si>
    <t>臺大醫院</t>
  </si>
  <si>
    <t>臺北小南門</t>
  </si>
  <si>
    <t>臺北中山堂</t>
  </si>
  <si>
    <t>臺北中正堂</t>
  </si>
  <si>
    <t>臺北仁杭</t>
  </si>
  <si>
    <t>臺北火車站</t>
  </si>
  <si>
    <t>臺北南門</t>
  </si>
  <si>
    <t>臺北汀州</t>
  </si>
  <si>
    <t>臺北中聯</t>
  </si>
  <si>
    <t>臺北古亭</t>
  </si>
  <si>
    <t>臺北南海</t>
  </si>
  <si>
    <t>中華路</t>
    <phoneticPr fontId="1" type="noConversion"/>
  </si>
  <si>
    <t>SMRO21-J008</t>
    <phoneticPr fontId="1" type="noConversion"/>
  </si>
  <si>
    <t>城內</t>
    <phoneticPr fontId="1" type="noConversion"/>
  </si>
  <si>
    <t>臺北南門</t>
    <phoneticPr fontId="1" type="noConversion"/>
  </si>
  <si>
    <t>南門</t>
  </si>
  <si>
    <t>忠孝路</t>
  </si>
  <si>
    <t>公庫部</t>
  </si>
  <si>
    <t>東門簡易型</t>
  </si>
  <si>
    <t>武昌</t>
  </si>
  <si>
    <t>城中</t>
  </si>
  <si>
    <t>群賢</t>
  </si>
  <si>
    <t>館前</t>
  </si>
  <si>
    <t>營業部</t>
  </si>
  <si>
    <t>107-028</t>
    <phoneticPr fontId="1" type="noConversion"/>
  </si>
  <si>
    <t>木柵</t>
    <phoneticPr fontId="1" type="noConversion"/>
  </si>
  <si>
    <t>臺北市</t>
    <phoneticPr fontId="1" type="noConversion"/>
  </si>
  <si>
    <t>文山區</t>
    <phoneticPr fontId="1" type="noConversion"/>
  </si>
  <si>
    <t>SAL16-J086</t>
    <phoneticPr fontId="1" type="noConversion"/>
  </si>
  <si>
    <t>文山溝子口</t>
    <phoneticPr fontId="1" type="noConversion"/>
  </si>
  <si>
    <t>文山景美</t>
    <phoneticPr fontId="1" type="noConversion"/>
  </si>
  <si>
    <t>SA218-J002</t>
    <phoneticPr fontId="1" type="noConversion"/>
  </si>
  <si>
    <t>臺北郵局木柵郵務股(景美)</t>
    <phoneticPr fontId="1" type="noConversion"/>
  </si>
  <si>
    <t>SAL17-J004</t>
    <phoneticPr fontId="1" type="noConversion"/>
  </si>
  <si>
    <t>文山興隆路</t>
    <phoneticPr fontId="1" type="noConversion"/>
  </si>
  <si>
    <t>文山武功</t>
    <phoneticPr fontId="1" type="noConversion"/>
  </si>
  <si>
    <t>JS119-J004</t>
    <phoneticPr fontId="1" type="noConversion"/>
  </si>
  <si>
    <t>文山萬盛</t>
    <phoneticPr fontId="1" type="noConversion"/>
  </si>
  <si>
    <t>文山萬芳</t>
    <phoneticPr fontId="1" type="noConversion"/>
  </si>
  <si>
    <t>文山指南</t>
    <phoneticPr fontId="1" type="noConversion"/>
  </si>
  <si>
    <t>文山木新</t>
    <phoneticPr fontId="1" type="noConversion"/>
  </si>
  <si>
    <t>文山樟腳里</t>
    <phoneticPr fontId="1" type="noConversion"/>
  </si>
  <si>
    <t>文山萬美街</t>
    <phoneticPr fontId="1" type="noConversion"/>
  </si>
  <si>
    <t>世新大學</t>
    <phoneticPr fontId="1" type="noConversion"/>
  </si>
  <si>
    <t>文山</t>
    <phoneticPr fontId="1" type="noConversion"/>
  </si>
  <si>
    <t>景美</t>
    <phoneticPr fontId="1" type="noConversion"/>
  </si>
  <si>
    <t>106-004</t>
    <phoneticPr fontId="1" type="noConversion"/>
  </si>
  <si>
    <t>95-038</t>
    <phoneticPr fontId="1" type="noConversion"/>
  </si>
  <si>
    <t>102-002</t>
    <phoneticPr fontId="1" type="noConversion"/>
  </si>
  <si>
    <t>萬隆</t>
    <phoneticPr fontId="1" type="noConversion"/>
  </si>
  <si>
    <t>SMRN20-J019</t>
    <phoneticPr fontId="1" type="noConversion"/>
  </si>
  <si>
    <t>POST</t>
    <phoneticPr fontId="1" type="noConversion"/>
  </si>
  <si>
    <t>中山投遞股</t>
  </si>
  <si>
    <t>中山區</t>
    <phoneticPr fontId="1" type="noConversion"/>
  </si>
  <si>
    <t>國防部</t>
    <phoneticPr fontId="1" type="noConversion"/>
  </si>
  <si>
    <t>臺北大直</t>
    <phoneticPr fontId="1" type="noConversion"/>
  </si>
  <si>
    <t>臺北中山</t>
    <phoneticPr fontId="1" type="noConversion"/>
  </si>
  <si>
    <t>臺北中崙</t>
    <phoneticPr fontId="1" type="noConversion"/>
  </si>
  <si>
    <t>臺北北安</t>
    <phoneticPr fontId="1" type="noConversion"/>
  </si>
  <si>
    <t>臺北民權</t>
    <phoneticPr fontId="1" type="noConversion"/>
  </si>
  <si>
    <t>臺北松江路</t>
    <phoneticPr fontId="1" type="noConversion"/>
  </si>
  <si>
    <t>臺北長安</t>
    <phoneticPr fontId="1" type="noConversion"/>
  </si>
  <si>
    <t>臺北長春路</t>
    <phoneticPr fontId="1" type="noConversion"/>
  </si>
  <si>
    <t>臺北建北</t>
    <phoneticPr fontId="1" type="noConversion"/>
  </si>
  <si>
    <t>臺北圓山</t>
    <phoneticPr fontId="1" type="noConversion"/>
  </si>
  <si>
    <t>臺北樂群二路</t>
    <phoneticPr fontId="1" type="noConversion"/>
  </si>
  <si>
    <t>臺北興安</t>
    <phoneticPr fontId="1" type="noConversion"/>
  </si>
  <si>
    <t>臺北龍江</t>
    <phoneticPr fontId="1" type="noConversion"/>
  </si>
  <si>
    <t>臺北雙連</t>
    <phoneticPr fontId="1" type="noConversion"/>
  </si>
  <si>
    <t>HNCB</t>
    <phoneticPr fontId="1" type="noConversion"/>
  </si>
  <si>
    <t>大直</t>
    <phoneticPr fontId="1" type="noConversion"/>
  </si>
  <si>
    <t>中山</t>
    <phoneticPr fontId="1" type="noConversion"/>
  </si>
  <si>
    <t>PSA17-J048</t>
    <phoneticPr fontId="1" type="noConversion"/>
  </si>
  <si>
    <t>長安</t>
    <phoneticPr fontId="1" type="noConversion"/>
  </si>
  <si>
    <t>南京東路</t>
    <phoneticPr fontId="1" type="noConversion"/>
  </si>
  <si>
    <t>南京東路(延伸櫃台)</t>
    <phoneticPr fontId="1" type="noConversion"/>
  </si>
  <si>
    <t>城東</t>
    <phoneticPr fontId="1" type="noConversion"/>
  </si>
  <si>
    <t>圓山</t>
    <phoneticPr fontId="1" type="noConversion"/>
  </si>
  <si>
    <t>龍江</t>
    <phoneticPr fontId="1" type="noConversion"/>
  </si>
  <si>
    <t>儲蓄</t>
    <phoneticPr fontId="1" type="noConversion"/>
  </si>
  <si>
    <t>FCB</t>
    <phoneticPr fontId="1" type="noConversion"/>
  </si>
  <si>
    <t>100-003</t>
    <phoneticPr fontId="1" type="noConversion"/>
  </si>
  <si>
    <t>吉林</t>
    <phoneticPr fontId="1" type="noConversion"/>
  </si>
  <si>
    <t>松江</t>
    <phoneticPr fontId="1" type="noConversion"/>
  </si>
  <si>
    <t>南京東路(華航)</t>
    <phoneticPr fontId="1" type="noConversion"/>
  </si>
  <si>
    <t>建國</t>
    <phoneticPr fontId="1" type="noConversion"/>
  </si>
  <si>
    <t>華山</t>
    <phoneticPr fontId="1" type="noConversion"/>
  </si>
  <si>
    <t>98-184</t>
    <phoneticPr fontId="1" type="noConversion"/>
  </si>
  <si>
    <t>新生</t>
    <phoneticPr fontId="1" type="noConversion"/>
  </si>
  <si>
    <t>復興</t>
    <phoneticPr fontId="1" type="noConversion"/>
  </si>
  <si>
    <t>BOT</t>
    <phoneticPr fontId="1" type="noConversion"/>
  </si>
  <si>
    <t>SMRO20-J019</t>
    <phoneticPr fontId="1" type="noConversion"/>
  </si>
  <si>
    <t>臺北</t>
    <phoneticPr fontId="1" type="noConversion"/>
  </si>
  <si>
    <t>N/A</t>
    <phoneticPr fontId="1" type="noConversion"/>
  </si>
  <si>
    <t>SKI</t>
  </si>
  <si>
    <t>內湖倉儲</t>
    <phoneticPr fontId="1" type="noConversion"/>
  </si>
  <si>
    <t>內湖</t>
    <phoneticPr fontId="1" type="noConversion"/>
  </si>
  <si>
    <t>內湖文德</t>
    <phoneticPr fontId="1" type="noConversion"/>
  </si>
  <si>
    <t>內湖西湖</t>
    <phoneticPr fontId="1" type="noConversion"/>
  </si>
  <si>
    <t>內湖東湖</t>
    <phoneticPr fontId="1" type="noConversion"/>
  </si>
  <si>
    <t>內湖碧湖</t>
    <phoneticPr fontId="1" type="noConversion"/>
  </si>
  <si>
    <t>內湖週美</t>
    <phoneticPr fontId="1" type="noConversion"/>
  </si>
  <si>
    <t>內湖金龍</t>
    <phoneticPr fontId="1" type="noConversion"/>
  </si>
  <si>
    <t>內湖大湖</t>
    <phoneticPr fontId="1" type="noConversion"/>
  </si>
  <si>
    <t>內湖江南</t>
    <phoneticPr fontId="1" type="noConversion"/>
  </si>
  <si>
    <t>內湖北勢湖</t>
    <phoneticPr fontId="1" type="noConversion"/>
  </si>
  <si>
    <t>內湖舊宗</t>
    <phoneticPr fontId="1" type="noConversion"/>
  </si>
  <si>
    <t>內湖康寧</t>
    <phoneticPr fontId="1" type="noConversion"/>
  </si>
  <si>
    <t>內湖三總</t>
    <phoneticPr fontId="1" type="noConversion"/>
  </si>
  <si>
    <t>資訊處(港墘路220遠傳IDC)</t>
    <phoneticPr fontId="1" type="noConversion"/>
  </si>
  <si>
    <t>內湖區</t>
    <phoneticPr fontId="1" type="noConversion"/>
  </si>
  <si>
    <t>JS120-J008</t>
    <phoneticPr fontId="1" type="noConversion"/>
  </si>
  <si>
    <t>東湖</t>
    <phoneticPr fontId="1" type="noConversion"/>
  </si>
  <si>
    <t>南內湖</t>
    <phoneticPr fontId="1" type="noConversion"/>
  </si>
  <si>
    <t>西湖</t>
    <phoneticPr fontId="1" type="noConversion"/>
  </si>
  <si>
    <t>內科園區</t>
    <phoneticPr fontId="1" type="noConversion"/>
  </si>
  <si>
    <t>新湖</t>
    <phoneticPr fontId="1" type="noConversion"/>
  </si>
  <si>
    <t>信卡處財金資訊</t>
    <phoneticPr fontId="1" type="noConversion"/>
  </si>
  <si>
    <t>信卡處是方電信機房</t>
    <phoneticPr fontId="1" type="noConversion"/>
  </si>
  <si>
    <t>信用卡處遠傳安康IDC機房</t>
    <phoneticPr fontId="1" type="noConversion"/>
  </si>
  <si>
    <t>103-017</t>
    <phoneticPr fontId="1" type="noConversion"/>
  </si>
  <si>
    <t>105-027</t>
    <phoneticPr fontId="1" type="noConversion"/>
  </si>
  <si>
    <t>107-013</t>
    <phoneticPr fontId="1" type="noConversion"/>
  </si>
  <si>
    <t>108-255</t>
    <phoneticPr fontId="1" type="noConversion"/>
  </si>
  <si>
    <t>SMRO20-J010</t>
    <phoneticPr fontId="1" type="noConversion"/>
  </si>
  <si>
    <t>預約需與中華郵政 資訊處 蘇真豐mail預約告知預計維護時間</t>
    <phoneticPr fontId="1" type="noConversion"/>
  </si>
  <si>
    <t>臺北大同</t>
  </si>
  <si>
    <t>大同區</t>
    <phoneticPr fontId="1" type="noConversion"/>
  </si>
  <si>
    <t>臺北保安</t>
  </si>
  <si>
    <t>臺北大龍峒</t>
    <phoneticPr fontId="1" type="noConversion"/>
  </si>
  <si>
    <t>臺北迪化街</t>
  </si>
  <si>
    <t>臺北圓環</t>
  </si>
  <si>
    <t>臺北臺北橋</t>
  </si>
  <si>
    <t>大同</t>
  </si>
  <si>
    <t>大稻埕</t>
  </si>
  <si>
    <t>建成</t>
  </si>
  <si>
    <t>行訓教室</t>
    <phoneticPr fontId="1" type="noConversion"/>
  </si>
  <si>
    <t>101-001</t>
  </si>
  <si>
    <t>停維</t>
    <phoneticPr fontId="1" type="noConversion"/>
  </si>
  <si>
    <t>民權</t>
  </si>
  <si>
    <t>延平</t>
  </si>
  <si>
    <t>臺北世貿</t>
    <phoneticPr fontId="1" type="noConversion"/>
  </si>
  <si>
    <t>信義區</t>
    <phoneticPr fontId="1" type="noConversion"/>
  </si>
  <si>
    <t>臺北市府</t>
    <phoneticPr fontId="1" type="noConversion"/>
  </si>
  <si>
    <t>臺北永吉</t>
    <phoneticPr fontId="1" type="noConversion"/>
  </si>
  <si>
    <t>臺北永春</t>
    <phoneticPr fontId="1" type="noConversion"/>
  </si>
  <si>
    <t>臺北吳興</t>
    <phoneticPr fontId="1" type="noConversion"/>
  </si>
  <si>
    <t>臺北松德</t>
    <phoneticPr fontId="1" type="noConversion"/>
  </si>
  <si>
    <t>臺北信義</t>
    <phoneticPr fontId="1" type="noConversion"/>
  </si>
  <si>
    <t>臺北逸仙</t>
    <phoneticPr fontId="1" type="noConversion"/>
  </si>
  <si>
    <t>世貿</t>
    <phoneticPr fontId="1" type="noConversion"/>
  </si>
  <si>
    <t>永吉</t>
    <phoneticPr fontId="1" type="noConversion"/>
  </si>
  <si>
    <t>南松山</t>
    <phoneticPr fontId="1" type="noConversion"/>
  </si>
  <si>
    <t>永春</t>
    <phoneticPr fontId="1" type="noConversion"/>
  </si>
  <si>
    <t>松貿</t>
    <phoneticPr fontId="1" type="noConversion"/>
  </si>
  <si>
    <t>長春分行(康和証券_基隆路)</t>
    <phoneticPr fontId="1" type="noConversion"/>
  </si>
  <si>
    <t>興雅</t>
    <phoneticPr fontId="1" type="noConversion"/>
  </si>
  <si>
    <t>永吉簡易型</t>
    <phoneticPr fontId="1" type="noConversion"/>
  </si>
  <si>
    <t>松山</t>
    <phoneticPr fontId="1" type="noConversion"/>
  </si>
  <si>
    <t>臺北世貿中心</t>
    <phoneticPr fontId="1" type="noConversion"/>
  </si>
  <si>
    <t>世貿延伸櫃檯</t>
    <phoneticPr fontId="1" type="noConversion"/>
  </si>
  <si>
    <t>荷蘭商安智銀行</t>
    <phoneticPr fontId="1" type="noConversion"/>
  </si>
  <si>
    <t>SMRO20-J039</t>
    <phoneticPr fontId="1" type="noConversion"/>
  </si>
  <si>
    <t>臺北台塑</t>
    <phoneticPr fontId="1" type="noConversion"/>
  </si>
  <si>
    <t>松山區</t>
    <phoneticPr fontId="1" type="noConversion"/>
  </si>
  <si>
    <t>松山機場</t>
    <phoneticPr fontId="1" type="noConversion"/>
  </si>
  <si>
    <t>臺北郵局松山機場
快捷轉運站</t>
    <phoneticPr fontId="1" type="noConversion"/>
  </si>
  <si>
    <t>臺北西松</t>
    <phoneticPr fontId="1" type="noConversion"/>
  </si>
  <si>
    <t>臺北延壽</t>
    <phoneticPr fontId="1" type="noConversion"/>
  </si>
  <si>
    <t>臺北松山</t>
    <phoneticPr fontId="1" type="noConversion"/>
  </si>
  <si>
    <t>臺北民生</t>
    <phoneticPr fontId="1" type="noConversion"/>
  </si>
  <si>
    <t>臺北光復</t>
    <phoneticPr fontId="1" type="noConversion"/>
  </si>
  <si>
    <t>臺北榮星</t>
    <phoneticPr fontId="1" type="noConversion"/>
  </si>
  <si>
    <t>臺北體育場</t>
    <phoneticPr fontId="1" type="noConversion"/>
  </si>
  <si>
    <t>民生</t>
    <phoneticPr fontId="1" type="noConversion"/>
  </si>
  <si>
    <t>東興</t>
    <phoneticPr fontId="1" type="noConversion"/>
  </si>
  <si>
    <t>瑞祥</t>
    <phoneticPr fontId="1" type="noConversion"/>
  </si>
  <si>
    <t>中崙</t>
    <phoneticPr fontId="1" type="noConversion"/>
  </si>
  <si>
    <t>東台北</t>
    <phoneticPr fontId="1" type="noConversion"/>
  </si>
  <si>
    <t>保險代理人（中崙通訊處）</t>
    <phoneticPr fontId="1" type="noConversion"/>
  </si>
  <si>
    <t>八德</t>
    <phoneticPr fontId="1" type="noConversion"/>
  </si>
  <si>
    <t>民權</t>
    <phoneticPr fontId="1" type="noConversion"/>
  </si>
  <si>
    <t>光復</t>
    <phoneticPr fontId="1" type="noConversion"/>
  </si>
  <si>
    <t>長春</t>
    <phoneticPr fontId="1" type="noConversion"/>
  </si>
  <si>
    <t>長春分行(康和證券_復興北路)</t>
    <phoneticPr fontId="1" type="noConversion"/>
  </si>
  <si>
    <t>鑫豐證券</t>
    <phoneticPr fontId="1" type="noConversion"/>
  </si>
  <si>
    <t>敦化</t>
    <phoneticPr fontId="1" type="noConversion"/>
  </si>
  <si>
    <t>臺北國際機場</t>
    <phoneticPr fontId="1" type="noConversion"/>
  </si>
  <si>
    <t>中崙通訊處</t>
    <phoneticPr fontId="1" type="noConversion"/>
  </si>
  <si>
    <t>地址：105台北市松山區復興北路99號4樓之5
在進門後的右手邊，設備在右邊最裡面的櫃子</t>
    <phoneticPr fontId="1" type="noConversion"/>
  </si>
  <si>
    <t>台北市信義區信義路5段7號70樓之1</t>
    <phoneticPr fontId="1" type="noConversion"/>
  </si>
  <si>
    <t>政大</t>
    <phoneticPr fontId="1" type="noConversion"/>
  </si>
  <si>
    <t>NET</t>
    <phoneticPr fontId="1" type="noConversion"/>
  </si>
  <si>
    <t>110台北市信義區基隆路一段176號B1樓</t>
  </si>
  <si>
    <t>一月</t>
    <phoneticPr fontId="1" type="noConversion"/>
  </si>
  <si>
    <t>二月</t>
  </si>
  <si>
    <t>三月</t>
  </si>
  <si>
    <t>四月</t>
  </si>
  <si>
    <t>五月</t>
  </si>
  <si>
    <t>六月</t>
  </si>
  <si>
    <t>七月</t>
  </si>
  <si>
    <t>八月</t>
  </si>
  <si>
    <t>九月</t>
  </si>
  <si>
    <t>十月</t>
  </si>
  <si>
    <t>十一月</t>
  </si>
  <si>
    <t>十二月</t>
  </si>
  <si>
    <t>&lt;29 30&gt;</t>
    <phoneticPr fontId="1" type="noConversion"/>
  </si>
  <si>
    <t>&lt;3    4&gt;</t>
    <phoneticPr fontId="1" type="noConversion"/>
  </si>
  <si>
    <t xml:space="preserve">&lt;3   4&gt;  </t>
    <phoneticPr fontId="1" type="noConversion"/>
  </si>
  <si>
    <t>&lt;3   4&gt;</t>
    <phoneticPr fontId="1" type="noConversion"/>
  </si>
  <si>
    <t>&lt;-4 5-&gt;</t>
    <phoneticPr fontId="1" type="noConversion"/>
  </si>
  <si>
    <t>最快可維護日</t>
    <phoneticPr fontId="1" type="noConversion"/>
  </si>
  <si>
    <t>1200營業</t>
    <phoneticPr fontId="1" type="noConversion"/>
  </si>
  <si>
    <t>大安郵局7F,投遞單位</t>
    <phoneticPr fontId="1" type="noConversion"/>
  </si>
  <si>
    <t>臺北郵件處理中心</t>
    <phoneticPr fontId="1" type="noConversion"/>
  </si>
  <si>
    <t>2351-7283#252(MR江)     
4F資訊辦公室</t>
    <phoneticPr fontId="1" type="noConversion"/>
  </si>
  <si>
    <t>SA218-J028</t>
    <phoneticPr fontId="1" type="noConversion"/>
  </si>
  <si>
    <t>敦和</t>
    <phoneticPr fontId="1" type="noConversion"/>
  </si>
  <si>
    <t>信維</t>
    <phoneticPr fontId="1" type="noConversion"/>
  </si>
  <si>
    <t>JS121-J009</t>
  </si>
  <si>
    <t>SMRO22-J008</t>
  </si>
  <si>
    <t>SMRO22-J008</t>
    <phoneticPr fontId="1" type="noConversion"/>
  </si>
  <si>
    <t>最快可維</t>
    <phoneticPr fontId="1" type="noConversion"/>
  </si>
  <si>
    <t>V</t>
  </si>
  <si>
    <t>V</t>
    <phoneticPr fontId="1" type="noConversion"/>
  </si>
  <si>
    <t>臺北六張犁</t>
    <phoneticPr fontId="1" type="noConversion"/>
  </si>
  <si>
    <t>臺灣科大</t>
    <phoneticPr fontId="1" type="noConversion"/>
  </si>
  <si>
    <t>臺北師大</t>
    <phoneticPr fontId="1" type="noConversion"/>
  </si>
  <si>
    <t>臺北郵件處理中心國際郵件進口科包進股</t>
    <phoneticPr fontId="1" type="noConversion"/>
  </si>
  <si>
    <t>臺北信維</t>
    <phoneticPr fontId="1" type="noConversion"/>
  </si>
  <si>
    <t>臺北三張犁</t>
    <phoneticPr fontId="1" type="noConversion"/>
  </si>
  <si>
    <t>木柵(裝)</t>
    <phoneticPr fontId="1" type="noConversion"/>
  </si>
  <si>
    <t>大安(裝)</t>
    <phoneticPr fontId="1" type="noConversion"/>
  </si>
  <si>
    <t>仁愛路(裝)</t>
    <phoneticPr fontId="1" type="noConversion"/>
  </si>
  <si>
    <t>公館(裝)</t>
    <phoneticPr fontId="1" type="noConversion"/>
  </si>
  <si>
    <t>敦化(裝)</t>
    <phoneticPr fontId="1" type="noConversion"/>
  </si>
  <si>
    <t>懷生(裝)</t>
    <phoneticPr fontId="1" type="noConversion"/>
  </si>
  <si>
    <t>新生(裝)</t>
    <phoneticPr fontId="1" type="noConversion"/>
  </si>
  <si>
    <t>信維(裝)</t>
    <phoneticPr fontId="1" type="noConversion"/>
  </si>
  <si>
    <t>信義(裝)</t>
    <phoneticPr fontId="1" type="noConversion"/>
  </si>
  <si>
    <t>忠孝東路(裝)</t>
    <phoneticPr fontId="1" type="noConversion"/>
  </si>
  <si>
    <t>敦化 258</t>
    <phoneticPr fontId="1" type="noConversion"/>
  </si>
  <si>
    <t>JS121-J046</t>
  </si>
  <si>
    <t>JS121-J046</t>
    <phoneticPr fontId="1" type="noConversion"/>
  </si>
  <si>
    <t>SMRO23-J008</t>
    <phoneticPr fontId="1" type="noConversion"/>
  </si>
  <si>
    <t>v</t>
  </si>
  <si>
    <t>v</t>
    <phoneticPr fontId="1" type="noConversion"/>
  </si>
  <si>
    <t>&lt;-29 30-&gt;</t>
    <phoneticPr fontId="1" type="noConversion"/>
  </si>
  <si>
    <t>&lt;-3    4-&gt;</t>
    <phoneticPr fontId="1" type="noConversion"/>
  </si>
  <si>
    <t xml:space="preserve">&lt;-3    4-&gt;  </t>
    <phoneticPr fontId="1" type="noConversion"/>
  </si>
  <si>
    <t>SMRN23-J007</t>
  </si>
  <si>
    <t>新產</t>
    <phoneticPr fontId="1" type="noConversion"/>
  </si>
  <si>
    <t>~23</t>
    <phoneticPr fontId="1" type="noConversion"/>
  </si>
  <si>
    <t>JS120-J078</t>
    <phoneticPr fontId="1" type="noConversion"/>
  </si>
  <si>
    <t>物料管理科</t>
    <phoneticPr fontId="1" type="noConversion"/>
  </si>
  <si>
    <t>新北市</t>
    <phoneticPr fontId="1" type="noConversion"/>
  </si>
  <si>
    <t>新店區</t>
    <phoneticPr fontId="1" type="noConversion"/>
  </si>
  <si>
    <t>勞安處物料管理科22171097</t>
    <phoneticPr fontId="1" type="noConversion"/>
  </si>
  <si>
    <t>青潭倉庫</t>
    <phoneticPr fontId="1" type="noConversion"/>
  </si>
  <si>
    <t>青潭倉庫(儲匯)</t>
    <phoneticPr fontId="1" type="noConversion"/>
  </si>
  <si>
    <t>臺北郵局供儲股青潭倉庫(儲匯)</t>
    <phoneticPr fontId="1" type="noConversion"/>
  </si>
  <si>
    <t>青潭倉庫(郵務)</t>
    <phoneticPr fontId="1" type="noConversion"/>
  </si>
  <si>
    <t>臺北郵局供儲股青潭倉庫(郵務)</t>
    <phoneticPr fontId="1" type="noConversion"/>
  </si>
  <si>
    <t>新店</t>
    <phoneticPr fontId="1" type="noConversion"/>
  </si>
  <si>
    <t>新店十四份</t>
    <phoneticPr fontId="1" type="noConversion"/>
  </si>
  <si>
    <t>新店大坪林</t>
    <phoneticPr fontId="1" type="noConversion"/>
  </si>
  <si>
    <t>新店中央</t>
    <phoneticPr fontId="1" type="noConversion"/>
  </si>
  <si>
    <t>新店中正</t>
    <phoneticPr fontId="1" type="noConversion"/>
  </si>
  <si>
    <t>新店中華路</t>
    <phoneticPr fontId="1" type="noConversion"/>
  </si>
  <si>
    <t>週二、四沒營業</t>
    <phoneticPr fontId="1" type="noConversion"/>
  </si>
  <si>
    <t>新店五城</t>
    <phoneticPr fontId="1" type="noConversion"/>
  </si>
  <si>
    <t>新店五峰</t>
    <phoneticPr fontId="1" type="noConversion"/>
  </si>
  <si>
    <t>新店公崙</t>
    <phoneticPr fontId="1" type="noConversion"/>
  </si>
  <si>
    <t>新店水尾</t>
    <phoneticPr fontId="1" type="noConversion"/>
  </si>
  <si>
    <t>新店永安</t>
    <phoneticPr fontId="1" type="noConversion"/>
  </si>
  <si>
    <t>新店屈尺</t>
    <phoneticPr fontId="1" type="noConversion"/>
  </si>
  <si>
    <t>只開到11點，週三沒營業</t>
    <phoneticPr fontId="1" type="noConversion"/>
  </si>
  <si>
    <t>新店玫瑰城</t>
    <phoneticPr fontId="1" type="noConversion"/>
  </si>
  <si>
    <t>新店青潭</t>
    <phoneticPr fontId="1" type="noConversion"/>
  </si>
  <si>
    <t>勞安處物料管理科青潭倉庫</t>
    <phoneticPr fontId="1" type="noConversion"/>
  </si>
  <si>
    <t>新店倉庫</t>
    <phoneticPr fontId="1" type="noConversion"/>
  </si>
  <si>
    <t>新店頂城</t>
    <phoneticPr fontId="1" type="noConversion"/>
  </si>
  <si>
    <t>新店復興</t>
    <phoneticPr fontId="1" type="noConversion"/>
  </si>
  <si>
    <t>新店碧潭</t>
    <phoneticPr fontId="1" type="noConversion"/>
  </si>
  <si>
    <t>新店龜山</t>
    <phoneticPr fontId="1" type="noConversion"/>
  </si>
  <si>
    <t>新店檳榔路</t>
    <phoneticPr fontId="1" type="noConversion"/>
  </si>
  <si>
    <t>要提前預約</t>
    <phoneticPr fontId="1" type="noConversion"/>
  </si>
  <si>
    <t>新店雙城</t>
    <phoneticPr fontId="1" type="noConversion"/>
  </si>
  <si>
    <t>新店寶橋</t>
    <phoneticPr fontId="1" type="noConversion"/>
  </si>
  <si>
    <t>新店分行</t>
    <phoneticPr fontId="1" type="noConversion"/>
  </si>
  <si>
    <t>新北市</t>
  </si>
  <si>
    <t>新店區</t>
  </si>
  <si>
    <t>北新分行</t>
    <phoneticPr fontId="1" type="noConversion"/>
  </si>
  <si>
    <t>201"202</t>
  </si>
  <si>
    <t>續約</t>
    <phoneticPr fontId="1" type="noConversion"/>
  </si>
  <si>
    <t>新店(元富證券)</t>
    <phoneticPr fontId="1" type="noConversion"/>
  </si>
  <si>
    <t>大坪林</t>
    <phoneticPr fontId="1" type="noConversion"/>
  </si>
  <si>
    <t>106-004</t>
    <phoneticPr fontId="21" type="noConversion"/>
  </si>
  <si>
    <r>
      <t>台北市內湖區民權東路六段83號</t>
    </r>
    <r>
      <rPr>
        <sz val="12"/>
        <color theme="1"/>
        <rFont val="Tahoma"/>
        <family val="2"/>
        <charset val="1"/>
      </rPr>
      <t>‎</t>
    </r>
    <r>
      <rPr>
        <sz val="12"/>
        <color theme="1"/>
        <rFont val="微軟正黑體"/>
        <family val="2"/>
        <charset val="136"/>
      </rPr>
      <t xml:space="preserve">5樓
內湖倉儲 曾小芳(02)2790-1070#54   5樓
去之前先打電話確認人在不在
</t>
    </r>
    <phoneticPr fontId="1" type="noConversion"/>
  </si>
  <si>
    <t>111/09/1</t>
    <phoneticPr fontId="1" type="noConversion"/>
  </si>
  <si>
    <t>111/11/31</t>
    <phoneticPr fontId="1" type="noConversion"/>
  </si>
  <si>
    <t>JS119-J004</t>
    <phoneticPr fontId="5" type="noConversion"/>
  </si>
  <si>
    <t>109.05.01</t>
  </si>
  <si>
    <t>109.04.30</t>
  </si>
  <si>
    <t>112/7/21</t>
    <phoneticPr fontId="5" type="noConversion"/>
  </si>
  <si>
    <t>112.1.1</t>
    <phoneticPr fontId="5" type="noConversion"/>
  </si>
  <si>
    <t>112.12.31</t>
    <phoneticPr fontId="5" type="noConversion"/>
  </si>
  <si>
    <t>JS122-J039</t>
    <phoneticPr fontId="5" type="noConversion"/>
  </si>
  <si>
    <t>112.6.17</t>
    <phoneticPr fontId="5" type="noConversion"/>
  </si>
  <si>
    <t>114.6.16</t>
    <phoneticPr fontId="5" type="noConversion"/>
  </si>
  <si>
    <t>JS121-J016</t>
    <phoneticPr fontId="1" type="noConversion"/>
  </si>
  <si>
    <t>HNCB</t>
    <phoneticPr fontId="5" type="noConversion"/>
  </si>
  <si>
    <t>潭美</t>
    <phoneticPr fontId="5" type="noConversion"/>
  </si>
  <si>
    <t>臺北市</t>
  </si>
  <si>
    <t>內湖區</t>
    <phoneticPr fontId="5" type="noConversion"/>
  </si>
  <si>
    <t>112/7/20</t>
    <phoneticPr fontId="5" type="noConversion"/>
  </si>
  <si>
    <t>已裁撤，設備在資訊室，預計5月搬遷至桃園</t>
    <phoneticPr fontId="1" type="noConversion"/>
  </si>
  <si>
    <t>112/7/4</t>
  </si>
  <si>
    <t>#216黃小姐</t>
    <phoneticPr fontId="1" type="noConversion"/>
  </si>
  <si>
    <t>112/7/4</t>
    <phoneticPr fontId="5" type="noConversion"/>
  </si>
  <si>
    <t>單子要記得寫客戶案號!!!</t>
    <phoneticPr fontId="1" type="noConversion"/>
  </si>
  <si>
    <t>石碇區</t>
    <phoneticPr fontId="1" type="noConversion"/>
  </si>
  <si>
    <t xml:space="preserve">   石碇華梵大學</t>
    <phoneticPr fontId="1" type="noConversion"/>
  </si>
  <si>
    <t>平溪</t>
    <phoneticPr fontId="1" type="noConversion"/>
  </si>
  <si>
    <t>平溪區</t>
    <phoneticPr fontId="1" type="noConversion"/>
  </si>
  <si>
    <t>坪林</t>
    <phoneticPr fontId="1" type="noConversion"/>
  </si>
  <si>
    <t>坪林區</t>
    <phoneticPr fontId="1" type="noConversion"/>
  </si>
  <si>
    <t>木柵郵局深坑倉儲</t>
  </si>
  <si>
    <t>深坑區</t>
    <phoneticPr fontId="1" type="noConversion"/>
  </si>
  <si>
    <r>
      <t xml:space="preserve">     </t>
    </r>
    <r>
      <rPr>
        <sz val="12"/>
        <color theme="1"/>
        <rFont val="微軟正黑體"/>
        <family val="2"/>
        <charset val="136"/>
      </rPr>
      <t>SA218-J028</t>
    </r>
    <phoneticPr fontId="1" type="noConversion"/>
  </si>
  <si>
    <t>深坑</t>
    <phoneticPr fontId="1" type="noConversion"/>
  </si>
  <si>
    <t>深坑十二月再跑，可以跟其他支局切齊</t>
    <phoneticPr fontId="1" type="noConversion"/>
  </si>
  <si>
    <t>雙溪</t>
    <phoneticPr fontId="8" type="noConversion"/>
  </si>
  <si>
    <t>雙溪區</t>
    <phoneticPr fontId="1" type="noConversion"/>
  </si>
  <si>
    <t>汐止</t>
    <phoneticPr fontId="1" type="noConversion"/>
  </si>
  <si>
    <t>汐止區</t>
    <phoneticPr fontId="1" type="noConversion"/>
  </si>
  <si>
    <t>106.10.1</t>
  </si>
  <si>
    <t>112.09.30</t>
    <phoneticPr fontId="1" type="noConversion"/>
  </si>
  <si>
    <t>汐止樟樹灣</t>
    <phoneticPr fontId="1" type="noConversion"/>
  </si>
  <si>
    <t>汐止翠柏</t>
    <phoneticPr fontId="1" type="noConversion"/>
  </si>
  <si>
    <t>109.09.30</t>
  </si>
  <si>
    <t>汐止建成路</t>
    <phoneticPr fontId="1" type="noConversion"/>
  </si>
  <si>
    <t>汐止社后</t>
    <phoneticPr fontId="1" type="noConversion"/>
  </si>
  <si>
    <t>汐止龍安</t>
    <phoneticPr fontId="1" type="noConversion"/>
  </si>
  <si>
    <t>汐止厚德</t>
    <phoneticPr fontId="1" type="noConversion"/>
  </si>
  <si>
    <t>汐止南昌</t>
    <phoneticPr fontId="1" type="noConversion"/>
  </si>
  <si>
    <t>汐止</t>
  </si>
  <si>
    <t>110.01.01</t>
    <phoneticPr fontId="1" type="noConversion"/>
  </si>
  <si>
    <t>110.12.31</t>
    <phoneticPr fontId="1" type="noConversion"/>
  </si>
  <si>
    <t>JS122-J039</t>
  </si>
  <si>
    <t>樟樹灣</t>
    <phoneticPr fontId="1" type="noConversion"/>
  </si>
  <si>
    <t>樟樹灣</t>
  </si>
  <si>
    <t>107-091</t>
  </si>
  <si>
    <t>108-089</t>
  </si>
  <si>
    <t>汐止分公司</t>
    <phoneticPr fontId="1" type="noConversion"/>
  </si>
  <si>
    <r>
      <t>221</t>
    </r>
    <r>
      <rPr>
        <sz val="14"/>
        <color rgb="FF333333"/>
        <rFont val="微軟正黑體"/>
        <family val="2"/>
        <charset val="136"/>
      </rPr>
      <t>新北市汐止區新台五路一段</t>
    </r>
    <r>
      <rPr>
        <sz val="14"/>
        <color rgb="FF333333"/>
        <rFont val="Arial"/>
        <family val="2"/>
      </rPr>
      <t>82</t>
    </r>
    <r>
      <rPr>
        <sz val="14"/>
        <color rgb="FF333333"/>
        <rFont val="微軟正黑體"/>
        <family val="2"/>
        <charset val="136"/>
      </rPr>
      <t>號</t>
    </r>
    <r>
      <rPr>
        <sz val="14"/>
        <color rgb="FF333333"/>
        <rFont val="Arial"/>
        <family val="2"/>
      </rPr>
      <t>D</t>
    </r>
    <r>
      <rPr>
        <sz val="14"/>
        <color rgb="FF333333"/>
        <rFont val="微軟正黑體"/>
        <family val="2"/>
        <charset val="136"/>
      </rPr>
      <t>棟</t>
    </r>
    <r>
      <rPr>
        <sz val="14"/>
        <color rgb="FF333333"/>
        <rFont val="Arial"/>
        <family val="2"/>
      </rPr>
      <t>13</t>
    </r>
    <r>
      <rPr>
        <sz val="14"/>
        <color rgb="FF333333"/>
        <rFont val="微軟正黑體"/>
        <family val="2"/>
        <charset val="136"/>
      </rPr>
      <t>樓</t>
    </r>
    <phoneticPr fontId="1" type="noConversion"/>
  </si>
  <si>
    <t>南港港三</t>
    <phoneticPr fontId="1" type="noConversion"/>
  </si>
  <si>
    <t>南港區</t>
    <phoneticPr fontId="1" type="noConversion"/>
  </si>
  <si>
    <t>南港富康</t>
    <phoneticPr fontId="1" type="noConversion"/>
  </si>
  <si>
    <t>南港同德</t>
    <phoneticPr fontId="1" type="noConversion"/>
  </si>
  <si>
    <t>南港福德</t>
    <phoneticPr fontId="1" type="noConversion"/>
  </si>
  <si>
    <t>南港後山埤</t>
    <phoneticPr fontId="1" type="noConversion"/>
  </si>
  <si>
    <t>南港軟體園區</t>
    <phoneticPr fontId="1" type="noConversion"/>
  </si>
  <si>
    <t>南港</t>
    <phoneticPr fontId="1" type="noConversion"/>
  </si>
  <si>
    <t>中研院</t>
    <phoneticPr fontId="1" type="noConversion"/>
  </si>
  <si>
    <t>南港昆陽</t>
    <phoneticPr fontId="1" type="noConversion"/>
  </si>
  <si>
    <t>資訊處系統管理科開放系統股
(悠遊卡南港機房)</t>
    <phoneticPr fontId="1" type="noConversion"/>
  </si>
  <si>
    <t>換證13F
進公司再換一次</t>
    <phoneticPr fontId="1" type="noConversion"/>
  </si>
  <si>
    <t>北南港</t>
    <phoneticPr fontId="1" type="noConversion"/>
  </si>
  <si>
    <t xml:space="preserve">蘇真豐 (02)2393-1261#3290  dereksu@mail.post.gov.tw
要預約通常是禮拜五的下午  在跟爭遠傳機房保養    mail給真豐    確認 (要壓星期五下午1500)-------
</t>
    <phoneticPr fontId="1" type="noConversion"/>
  </si>
  <si>
    <t>石碇</t>
    <phoneticPr fontId="1" type="noConversion"/>
  </si>
  <si>
    <t>7</t>
    <phoneticPr fontId="1" type="noConversion"/>
  </si>
  <si>
    <t>內湖分公司</t>
    <phoneticPr fontId="1" type="noConversion"/>
  </si>
  <si>
    <t>JS121-J084</t>
  </si>
  <si>
    <t>聯邦網通</t>
    <phoneticPr fontId="1" type="noConversion"/>
  </si>
  <si>
    <t>JS122-J138</t>
    <phoneticPr fontId="21" type="noConversion"/>
  </si>
  <si>
    <t>~24</t>
  </si>
  <si>
    <t>~24</t>
    <phoneticPr fontId="1" type="noConversion"/>
  </si>
  <si>
    <t>單位</t>
    <phoneticPr fontId="1" type="noConversion"/>
  </si>
  <si>
    <t>本季保養</t>
    <phoneticPr fontId="1" type="noConversion"/>
  </si>
  <si>
    <t>最快可保養時間</t>
    <phoneticPr fontId="1" type="noConversion"/>
  </si>
  <si>
    <t>JS121-J084</t>
    <phoneticPr fontId="1" type="noConversion"/>
  </si>
  <si>
    <t>SMRO23-J008</t>
  </si>
  <si>
    <t>JS122-J039</t>
    <phoneticPr fontId="1" type="noConversion"/>
  </si>
  <si>
    <t>16</t>
    <phoneticPr fontId="1" type="noConversion"/>
  </si>
  <si>
    <t>萬華</t>
  </si>
  <si>
    <t>雙園</t>
  </si>
  <si>
    <t>(2、5、8、11)</t>
    <phoneticPr fontId="1" type="noConversion"/>
  </si>
  <si>
    <t>(11.29、2.28、5.29、8.29)</t>
    <phoneticPr fontId="1" type="noConversion"/>
  </si>
  <si>
    <t>(2/4-5/3、5/4-8/3、8/4-11/3、11/4-2/3)</t>
    <phoneticPr fontId="1" type="noConversion"/>
  </si>
  <si>
    <t>(2、5、8、11)</t>
  </si>
  <si>
    <t>營業部(國稅局經收處)</t>
    <phoneticPr fontId="1" type="noConversion"/>
  </si>
  <si>
    <t>(2、5、8、11) 108台北市萬華區中華路一段2號</t>
    <phoneticPr fontId="1" type="noConversion"/>
  </si>
  <si>
    <t>(4、10) 108台北市萬華區中華路一段2號</t>
    <phoneticPr fontId="1" type="noConversion"/>
  </si>
  <si>
    <t>深坑草地尾</t>
    <phoneticPr fontId="1" type="noConversion"/>
  </si>
  <si>
    <t>瑞芳郵局</t>
    <phoneticPr fontId="1" type="noConversion"/>
  </si>
  <si>
    <t>瑞芳金瓜石郵局</t>
    <phoneticPr fontId="1" type="noConversion"/>
  </si>
  <si>
    <t>瑞芳四腳亭郵局</t>
    <phoneticPr fontId="1" type="noConversion"/>
  </si>
  <si>
    <t>瑞芳九份郵局</t>
  </si>
  <si>
    <t>瑞芳區</t>
    <phoneticPr fontId="1" type="noConversion"/>
  </si>
  <si>
    <t>JS122-J129</t>
    <phoneticPr fontId="1" type="noConversion"/>
  </si>
  <si>
    <t>貢寮郵局</t>
    <phoneticPr fontId="1" type="noConversion"/>
  </si>
  <si>
    <t>貢寮澳底郵局</t>
  </si>
  <si>
    <t>貢寮區</t>
    <phoneticPr fontId="1" type="noConversion"/>
  </si>
  <si>
    <t>瑞芳分行</t>
    <phoneticPr fontId="1" type="noConversion"/>
  </si>
  <si>
    <t>JS122-J129</t>
  </si>
  <si>
    <t>1月</t>
    <phoneticPr fontId="1" type="noConversion"/>
  </si>
  <si>
    <t>SMRO23-J008</t>
    <phoneticPr fontId="5" type="noConversion"/>
  </si>
  <si>
    <t>110台北市信義區基隆路二段91號2樓(華南永昌)</t>
    <phoneticPr fontId="1" type="noConversion"/>
  </si>
  <si>
    <t>長春分行
(康和証券_基隆路)</t>
    <phoneticPr fontId="1" type="noConversion"/>
  </si>
  <si>
    <r>
      <t>110</t>
    </r>
    <r>
      <rPr>
        <sz val="11"/>
        <color rgb="FF202124"/>
        <rFont val="微軟正黑體"/>
        <family val="2"/>
        <charset val="136"/>
      </rPr>
      <t>台北市信義區基隆路一段</t>
    </r>
    <r>
      <rPr>
        <sz val="11"/>
        <color rgb="FF202124"/>
        <rFont val="Arial"/>
        <family val="2"/>
      </rPr>
      <t>176</t>
    </r>
    <r>
      <rPr>
        <sz val="11"/>
        <color rgb="FF202124"/>
        <rFont val="微軟正黑體"/>
        <family val="2"/>
        <charset val="136"/>
      </rPr>
      <t>號</t>
    </r>
    <r>
      <rPr>
        <sz val="11"/>
        <color rgb="FF202124"/>
        <rFont val="Arial"/>
        <family val="2"/>
      </rPr>
      <t>B1</t>
    </r>
    <r>
      <rPr>
        <sz val="11"/>
        <color rgb="FF202124"/>
        <rFont val="微軟正黑體"/>
        <family val="2"/>
        <charset val="136"/>
      </rPr>
      <t>樓</t>
    </r>
    <r>
      <rPr>
        <sz val="11"/>
        <color rgb="FF202124"/>
        <rFont val="Arial"/>
        <family val="2"/>
      </rPr>
      <t xml:space="preserve"> </t>
    </r>
    <r>
      <rPr>
        <sz val="11"/>
        <color rgb="FF202124"/>
        <rFont val="新細明體"/>
        <family val="2"/>
        <charset val="136"/>
      </rPr>
      <t>打進去請人幫忙轉第一銀行櫃台</t>
    </r>
    <phoneticPr fontId="1" type="noConversion"/>
  </si>
  <si>
    <t>JS123-J019</t>
  </si>
  <si>
    <t>永春126</t>
    <phoneticPr fontId="1" type="noConversion"/>
  </si>
  <si>
    <t>汐科 110</t>
    <phoneticPr fontId="1" type="noConversion"/>
  </si>
  <si>
    <t>公館106</t>
    <phoneticPr fontId="1" type="noConversion"/>
  </si>
  <si>
    <t>古亭200</t>
    <phoneticPr fontId="1" type="noConversion"/>
  </si>
  <si>
    <t>安和210</t>
    <phoneticPr fontId="1" type="noConversion"/>
  </si>
  <si>
    <t>基隆八斗子</t>
  </si>
  <si>
    <t>基隆市</t>
  </si>
  <si>
    <t>中正區</t>
  </si>
  <si>
    <t>基隆三沙灣</t>
    <phoneticPr fontId="1" type="noConversion"/>
  </si>
  <si>
    <t>基隆大武崙</t>
    <phoneticPr fontId="1" type="noConversion"/>
  </si>
  <si>
    <t>安樂區</t>
  </si>
  <si>
    <t>基隆中山</t>
  </si>
  <si>
    <t>中山區</t>
  </si>
  <si>
    <t>基隆六堵</t>
    <phoneticPr fontId="1" type="noConversion"/>
  </si>
  <si>
    <t>七堵區</t>
  </si>
  <si>
    <t>基隆安樂路</t>
    <phoneticPr fontId="1" type="noConversion"/>
  </si>
  <si>
    <t>基隆東信路</t>
    <phoneticPr fontId="1" type="noConversion"/>
  </si>
  <si>
    <t>信義區</t>
  </si>
  <si>
    <t>基隆信義</t>
    <phoneticPr fontId="1" type="noConversion"/>
  </si>
  <si>
    <t>基隆復興路</t>
    <phoneticPr fontId="1" type="noConversion"/>
  </si>
  <si>
    <t>基隆新民</t>
    <phoneticPr fontId="1" type="noConversion"/>
  </si>
  <si>
    <t>基隆碇內</t>
    <phoneticPr fontId="1" type="noConversion"/>
  </si>
  <si>
    <t>暖暖區</t>
  </si>
  <si>
    <t>海洋大學</t>
    <phoneticPr fontId="1" type="noConversion"/>
  </si>
  <si>
    <t>基隆中正</t>
    <phoneticPr fontId="1" type="noConversion"/>
  </si>
  <si>
    <t>基隆仁二路</t>
    <phoneticPr fontId="1" type="noConversion"/>
  </si>
  <si>
    <t>仁愛區</t>
  </si>
  <si>
    <t>基隆安瀾橋</t>
    <phoneticPr fontId="1" type="noConversion"/>
  </si>
  <si>
    <t>基隆百福</t>
    <phoneticPr fontId="1" type="noConversion"/>
  </si>
  <si>
    <t>基隆孝三路</t>
    <phoneticPr fontId="1" type="noConversion"/>
  </si>
  <si>
    <t>基隆和平島</t>
    <phoneticPr fontId="1" type="noConversion"/>
  </si>
  <si>
    <t>基隆港東</t>
    <phoneticPr fontId="1" type="noConversion"/>
  </si>
  <si>
    <t>基隆港西街</t>
    <phoneticPr fontId="1" type="noConversion"/>
  </si>
  <si>
    <t>基隆南榮路</t>
    <phoneticPr fontId="1" type="noConversion"/>
  </si>
  <si>
    <t>基隆新豐街</t>
    <phoneticPr fontId="1" type="noConversion"/>
  </si>
  <si>
    <t>基隆暖暖</t>
    <phoneticPr fontId="1" type="noConversion"/>
  </si>
  <si>
    <t>基隆過港路</t>
    <phoneticPr fontId="1" type="noConversion"/>
  </si>
  <si>
    <t>基隆樂利</t>
    <phoneticPr fontId="1" type="noConversion"/>
  </si>
  <si>
    <t>基隆七堵</t>
    <phoneticPr fontId="1" type="noConversion"/>
  </si>
  <si>
    <t>基隆光二路</t>
    <phoneticPr fontId="1" type="noConversion"/>
  </si>
  <si>
    <t>基隆郵務科轉運股</t>
    <phoneticPr fontId="1" type="noConversion"/>
  </si>
  <si>
    <t>基隆管制站</t>
  </si>
  <si>
    <t>02-2421-0109 歐陽股長</t>
    <phoneticPr fontId="1" type="noConversion"/>
  </si>
  <si>
    <t>在2樓 早上10點  2421 0102# 課長</t>
    <phoneticPr fontId="1" type="noConversion"/>
  </si>
  <si>
    <t>JS123-J019</t>
    <phoneticPr fontId="1" type="noConversion"/>
  </si>
  <si>
    <t>JS120-J078</t>
  </si>
  <si>
    <t>愛三路</t>
    <phoneticPr fontId="1" type="noConversion"/>
  </si>
  <si>
    <t>七堵分行</t>
    <phoneticPr fontId="1" type="noConversion"/>
  </si>
  <si>
    <t>SMRO25-J008</t>
    <phoneticPr fontId="1" type="noConversion"/>
  </si>
  <si>
    <t>基隆分行</t>
  </si>
  <si>
    <t>先打電話</t>
    <phoneticPr fontId="1" type="noConversion"/>
  </si>
  <si>
    <t>港口分行</t>
    <phoneticPr fontId="1" type="noConversion"/>
  </si>
  <si>
    <t>港口分行延伸櫃台</t>
  </si>
  <si>
    <t>基隆市仁愛區愛三路87號11樓</t>
    <phoneticPr fontId="1" type="noConversion"/>
  </si>
  <si>
    <t>約1430</t>
    <phoneticPr fontId="1" type="noConversion"/>
  </si>
  <si>
    <t>&lt;-13</t>
    <phoneticPr fontId="1" type="noConversion"/>
  </si>
  <si>
    <t>哨船頭分行</t>
  </si>
  <si>
    <t>基隆分行 統一證券_收付處</t>
  </si>
  <si>
    <t>2422-5288#827</t>
    <phoneticPr fontId="1" type="noConversion"/>
  </si>
  <si>
    <t>基隆分行 群益金鼎證券-收付處</t>
  </si>
  <si>
    <t>2422-1212#713</t>
    <phoneticPr fontId="1" type="noConversion"/>
  </si>
  <si>
    <t>下次維護日期</t>
    <phoneticPr fontId="1" type="noConversion"/>
  </si>
  <si>
    <t>臺北光華</t>
    <phoneticPr fontId="1" type="noConversion"/>
  </si>
  <si>
    <t>臺北仁愛路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</si>
</sst>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yyyy/mm/dd"/>
    <numFmt numFmtId="177" formatCode="[$-404]e/mm/dd"/>
    <numFmt numFmtId="178" formatCode="[$-404]e/m/d;@"/>
    <numFmt numFmtId="179" formatCode="e/mm/dd"/>
    <numFmt numFmtId="180" formatCode="\ General"/>
    <numFmt numFmtId="181" formatCode="[$-404]e/mm/dd;@"/>
    <numFmt numFmtId="182" formatCode="mm/dd"/>
    <numFmt numFmtId="183" formatCode="0_);[Red]\(0\)"/>
  </numFmts>
  <fonts count="4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color theme="1"/>
      <name val="新細明體"/>
      <family val="2"/>
      <charset val="136"/>
      <scheme val="minor"/>
    </font>
    <font>
      <sz val="14"/>
      <color theme="1"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12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sz val="9"/>
      <name val="細明體"/>
      <family val="3"/>
      <charset val="136"/>
    </font>
    <font>
      <sz val="11"/>
      <name val="微軟正黑體"/>
      <family val="2"/>
      <charset val="136"/>
    </font>
    <font>
      <sz val="11"/>
      <color rgb="FF202124"/>
      <name val="Arial"/>
      <family val="2"/>
    </font>
    <font>
      <b/>
      <sz val="14"/>
      <color theme="1"/>
      <name val="微軟正黑體"/>
      <family val="2"/>
      <charset val="136"/>
    </font>
    <font>
      <b/>
      <sz val="14"/>
      <color rgb="FF000000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b/>
      <sz val="14"/>
      <color theme="5" tint="-0.249977111117893"/>
      <name val="微軟正黑體"/>
      <family val="2"/>
      <charset val="136"/>
    </font>
    <font>
      <sz val="14"/>
      <color rgb="FF000000"/>
      <name val="微軟正黑體"/>
      <family val="2"/>
      <charset val="136"/>
    </font>
    <font>
      <b/>
      <sz val="12"/>
      <color rgb="FFFF0000"/>
      <name val="微軟正黑體"/>
      <family val="2"/>
      <charset val="136"/>
    </font>
    <font>
      <sz val="14"/>
      <name val="微軟正黑體"/>
      <family val="2"/>
      <charset val="136"/>
    </font>
    <font>
      <sz val="11"/>
      <color rgb="FFFF0000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0"/>
      <color theme="1"/>
      <name val="微軟正黑體"/>
      <family val="2"/>
      <charset val="136"/>
    </font>
    <font>
      <sz val="12"/>
      <color theme="1" tint="4.9989318521683403E-2"/>
      <name val="微軟正黑體"/>
      <family val="2"/>
      <charset val="136"/>
    </font>
    <font>
      <sz val="12"/>
      <color theme="1"/>
      <name val="Tahoma"/>
      <family val="2"/>
      <charset val="1"/>
    </font>
    <font>
      <sz val="12"/>
      <color theme="1"/>
      <name val="雅痞-繁 標準體"/>
      <charset val="136"/>
    </font>
    <font>
      <sz val="14"/>
      <color rgb="FFFF0000"/>
      <name val="微軟正黑體"/>
      <family val="2"/>
      <charset val="136"/>
    </font>
    <font>
      <b/>
      <sz val="12"/>
      <color theme="1" tint="4.9989318521683403E-2"/>
      <name val="微軟正黑體"/>
      <family val="2"/>
      <charset val="136"/>
    </font>
    <font>
      <sz val="12"/>
      <color rgb="FF0070C0"/>
      <name val="雅痞-繁 標準體"/>
      <charset val="136"/>
    </font>
    <font>
      <sz val="12"/>
      <color rgb="FF000000"/>
      <name val="雅痞-繁 標準體"/>
      <charset val="136"/>
    </font>
    <font>
      <b/>
      <sz val="12"/>
      <color theme="1"/>
      <name val="微軟正黑體"/>
      <family val="2"/>
      <charset val="136"/>
    </font>
    <font>
      <b/>
      <sz val="12"/>
      <name val="微軟正黑體"/>
      <family val="2"/>
      <charset val="136"/>
    </font>
    <font>
      <b/>
      <sz val="12"/>
      <color theme="1"/>
      <name val="新細明體"/>
      <family val="1"/>
      <charset val="136"/>
      <scheme val="major"/>
    </font>
    <font>
      <sz val="14"/>
      <color rgb="FF333333"/>
      <name val="Arial"/>
      <family val="2"/>
    </font>
    <font>
      <sz val="14"/>
      <color rgb="FF333333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1"/>
      <color rgb="FF202124"/>
      <name val="微軟正黑體"/>
      <family val="2"/>
      <charset val="136"/>
    </font>
    <font>
      <sz val="11"/>
      <color rgb="FF202124"/>
      <name val="新細明體"/>
      <family val="2"/>
      <charset val="136"/>
    </font>
    <font>
      <sz val="12"/>
      <color theme="1"/>
      <name val="Microsoft JhengHei UI"/>
      <family val="2"/>
      <charset val="136"/>
    </font>
    <font>
      <sz val="16"/>
      <color theme="1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10"/>
      <color rgb="FFFF0000"/>
      <name val="微軟正黑體"/>
      <family val="2"/>
      <charset val="136"/>
    </font>
  </fonts>
  <fills count="5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535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rgb="FF8DB3E2"/>
      </patternFill>
    </fill>
    <fill>
      <patternFill patternType="solid">
        <fgColor rgb="FFFFFFFF"/>
        <bgColor indexed="64"/>
      </patternFill>
    </fill>
    <fill>
      <patternFill patternType="solid">
        <fgColor rgb="FF0070C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theme="4" tint="0.59999389629810485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2D69B"/>
        <bgColor rgb="FFC2D69B"/>
      </patternFill>
    </fill>
    <fill>
      <patternFill patternType="solid">
        <fgColor rgb="FFFABF8F"/>
        <bgColor rgb="FFFABF8F"/>
      </patternFill>
    </fill>
    <fill>
      <patternFill patternType="solid">
        <fgColor rgb="FFD99594"/>
        <bgColor rgb="FFD99594"/>
      </patternFill>
    </fill>
    <fill>
      <patternFill patternType="solid">
        <fgColor rgb="FFB6DDE8"/>
        <bgColor rgb="FFB6DDE8"/>
      </patternFill>
    </fill>
    <fill>
      <patternFill patternType="solid">
        <fgColor rgb="FF8DB3E2"/>
        <bgColor rgb="FF8DB3E2"/>
      </patternFill>
    </fill>
    <fill>
      <patternFill patternType="solid">
        <fgColor rgb="FFB2A1C7"/>
        <bgColor rgb="FFB2A1C7"/>
      </patternFill>
    </fill>
    <fill>
      <patternFill patternType="solid">
        <fgColor theme="7" tint="0.39997558519241921"/>
        <bgColor rgb="FFFFFF00"/>
      </patternFill>
    </fill>
    <fill>
      <patternFill patternType="solid">
        <fgColor theme="7" tint="0.39997558519241921"/>
        <bgColor rgb="FFB2A1C7"/>
      </patternFill>
    </fill>
    <fill>
      <patternFill patternType="solid">
        <fgColor theme="4" tint="0.39997558519241921"/>
        <bgColor rgb="FFB2A1C7"/>
      </patternFill>
    </fill>
    <fill>
      <patternFill patternType="solid">
        <fgColor theme="4" tint="0.39997558519241921"/>
        <bgColor rgb="FFFABF8F"/>
      </patternFill>
    </fill>
    <fill>
      <patternFill patternType="solid">
        <fgColor theme="9" tint="0.39997558519241921"/>
        <bgColor rgb="FFFABF8F"/>
      </patternFill>
    </fill>
    <fill>
      <patternFill patternType="solid">
        <fgColor theme="9" tint="0.39997558519241921"/>
        <bgColor rgb="FF95B3D7"/>
      </patternFill>
    </fill>
    <fill>
      <patternFill patternType="solid">
        <fgColor rgb="FFFFFF00"/>
        <bgColor rgb="FF95B3D7"/>
      </patternFill>
    </fill>
    <fill>
      <patternFill patternType="solid">
        <fgColor rgb="FF92CDDC"/>
        <bgColor rgb="FF92CDDC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0" tint="-0.34998626667073579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</cellStyleXfs>
  <cellXfs count="467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4" fillId="2" borderId="1" xfId="0" applyFont="1" applyFill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 shrinkToFit="1"/>
    </xf>
    <xf numFmtId="14" fontId="2" fillId="0" borderId="1" xfId="0" applyNumberFormat="1" applyFont="1" applyBorder="1" applyAlignment="1">
      <alignment horizontal="center" vertical="center"/>
    </xf>
    <xf numFmtId="176" fontId="2" fillId="0" borderId="1" xfId="2" applyNumberFormat="1" applyFont="1" applyBorder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1" xfId="2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6" fillId="0" borderId="3" xfId="2" applyFont="1" applyBorder="1" applyAlignment="1">
      <alignment horizontal="center" vertical="center"/>
    </xf>
    <xf numFmtId="178" fontId="9" fillId="0" borderId="1" xfId="0" applyNumberFormat="1" applyFont="1" applyBorder="1" applyAlignment="1">
      <alignment horizontal="center" vertical="center" shrinkToFit="1"/>
    </xf>
    <xf numFmtId="0" fontId="2" fillId="10" borderId="1" xfId="0" applyFont="1" applyFill="1" applyBorder="1" applyAlignment="1">
      <alignment horizontal="center" vertical="center"/>
    </xf>
    <xf numFmtId="14" fontId="2" fillId="11" borderId="1" xfId="0" applyNumberFormat="1" applyFont="1" applyFill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176" fontId="2" fillId="11" borderId="1" xfId="0" applyNumberFormat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176" fontId="4" fillId="11" borderId="1" xfId="0" applyNumberFormat="1" applyFont="1" applyFill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1" fillId="7" borderId="1" xfId="0" applyFont="1" applyFill="1" applyBorder="1" applyAlignment="1">
      <alignment horizontal="center" vertical="center"/>
    </xf>
    <xf numFmtId="49" fontId="12" fillId="12" borderId="1" xfId="0" applyNumberFormat="1" applyFont="1" applyFill="1" applyBorder="1" applyAlignment="1">
      <alignment horizontal="center" vertical="center"/>
    </xf>
    <xf numFmtId="49" fontId="12" fillId="14" borderId="1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3" fillId="14" borderId="1" xfId="0" applyNumberFormat="1" applyFont="1" applyFill="1" applyBorder="1" applyAlignment="1">
      <alignment horizontal="center" vertical="center"/>
    </xf>
    <xf numFmtId="0" fontId="4" fillId="13" borderId="1" xfId="0" applyFont="1" applyFill="1" applyBorder="1">
      <alignment vertical="center"/>
    </xf>
    <xf numFmtId="0" fontId="4" fillId="11" borderId="1" xfId="0" applyFont="1" applyFill="1" applyBorder="1">
      <alignment vertical="center"/>
    </xf>
    <xf numFmtId="0" fontId="4" fillId="15" borderId="1" xfId="0" applyFont="1" applyFill="1" applyBorder="1">
      <alignment vertical="center"/>
    </xf>
    <xf numFmtId="0" fontId="4" fillId="16" borderId="1" xfId="0" applyFont="1" applyFill="1" applyBorder="1">
      <alignment vertical="center"/>
    </xf>
    <xf numFmtId="0" fontId="4" fillId="6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0" fontId="4" fillId="6" borderId="1" xfId="0" applyFont="1" applyFill="1" applyBorder="1">
      <alignment vertical="center"/>
    </xf>
    <xf numFmtId="0" fontId="4" fillId="17" borderId="1" xfId="0" applyFont="1" applyFill="1" applyBorder="1">
      <alignment vertical="center"/>
    </xf>
    <xf numFmtId="0" fontId="4" fillId="8" borderId="1" xfId="0" applyFont="1" applyFill="1" applyBorder="1">
      <alignment vertical="center"/>
    </xf>
    <xf numFmtId="0" fontId="4" fillId="9" borderId="1" xfId="0" applyFont="1" applyFill="1" applyBorder="1">
      <alignment vertical="center"/>
    </xf>
    <xf numFmtId="14" fontId="4" fillId="9" borderId="5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4" fontId="4" fillId="15" borderId="5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2" xfId="0" applyFont="1" applyBorder="1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>
      <alignment vertical="center"/>
    </xf>
    <xf numFmtId="0" fontId="0" fillId="0" borderId="9" xfId="0" applyBorder="1">
      <alignment vertical="center"/>
    </xf>
    <xf numFmtId="0" fontId="2" fillId="0" borderId="12" xfId="0" applyFont="1" applyBorder="1" applyAlignment="1">
      <alignment horizontal="center" vertical="center"/>
    </xf>
    <xf numFmtId="0" fontId="2" fillId="0" borderId="12" xfId="0" applyFont="1" applyBorder="1">
      <alignment vertical="center"/>
    </xf>
    <xf numFmtId="49" fontId="12" fillId="14" borderId="12" xfId="0" applyNumberFormat="1" applyFont="1" applyFill="1" applyBorder="1" applyAlignment="1">
      <alignment horizontal="center" vertical="center"/>
    </xf>
    <xf numFmtId="49" fontId="12" fillId="3" borderId="12" xfId="0" applyNumberFormat="1" applyFont="1" applyFill="1" applyBorder="1" applyAlignment="1">
      <alignment horizontal="center" vertical="center"/>
    </xf>
    <xf numFmtId="49" fontId="13" fillId="14" borderId="12" xfId="0" applyNumberFormat="1" applyFont="1" applyFill="1" applyBorder="1" applyAlignment="1">
      <alignment horizontal="center" vertical="center"/>
    </xf>
    <xf numFmtId="0" fontId="0" fillId="0" borderId="13" xfId="0" applyBorder="1">
      <alignment vertical="center"/>
    </xf>
    <xf numFmtId="14" fontId="2" fillId="0" borderId="2" xfId="0" applyNumberFormat="1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/>
    </xf>
    <xf numFmtId="14" fontId="2" fillId="0" borderId="8" xfId="0" applyNumberFormat="1" applyFont="1" applyBorder="1" applyAlignment="1">
      <alignment horizontal="center" vertical="center"/>
    </xf>
    <xf numFmtId="14" fontId="2" fillId="0" borderId="12" xfId="0" applyNumberFormat="1" applyFont="1" applyBorder="1" applyAlignment="1">
      <alignment horizontal="center" vertical="center"/>
    </xf>
    <xf numFmtId="14" fontId="2" fillId="6" borderId="1" xfId="0" applyNumberFormat="1" applyFont="1" applyFill="1" applyBorder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4" fontId="2" fillId="8" borderId="0" xfId="0" applyNumberFormat="1" applyFont="1" applyFill="1">
      <alignment vertical="center"/>
    </xf>
    <xf numFmtId="14" fontId="4" fillId="18" borderId="1" xfId="0" applyNumberFormat="1" applyFont="1" applyFill="1" applyBorder="1">
      <alignment vertical="center"/>
    </xf>
    <xf numFmtId="14" fontId="2" fillId="0" borderId="0" xfId="0" applyNumberFormat="1" applyFont="1">
      <alignment vertical="center"/>
    </xf>
    <xf numFmtId="0" fontId="2" fillId="2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14" fontId="2" fillId="10" borderId="1" xfId="0" applyNumberFormat="1" applyFont="1" applyFill="1" applyBorder="1" applyAlignment="1">
      <alignment horizontal="center" vertical="center"/>
    </xf>
    <xf numFmtId="0" fontId="2" fillId="10" borderId="1" xfId="0" applyFont="1" applyFill="1" applyBorder="1">
      <alignment vertical="center"/>
    </xf>
    <xf numFmtId="0" fontId="4" fillId="10" borderId="1" xfId="0" applyFont="1" applyFill="1" applyBorder="1">
      <alignment vertical="center"/>
    </xf>
    <xf numFmtId="0" fontId="0" fillId="10" borderId="0" xfId="0" applyFill="1">
      <alignment vertical="center"/>
    </xf>
    <xf numFmtId="0" fontId="4" fillId="10" borderId="1" xfId="0" applyFont="1" applyFill="1" applyBorder="1" applyAlignment="1">
      <alignment horizontal="center" vertical="center"/>
    </xf>
    <xf numFmtId="14" fontId="4" fillId="10" borderId="5" xfId="0" applyNumberFormat="1" applyFont="1" applyFill="1" applyBorder="1" applyAlignment="1">
      <alignment horizontal="center" vertical="center"/>
    </xf>
    <xf numFmtId="176" fontId="2" fillId="10" borderId="1" xfId="0" applyNumberFormat="1" applyFont="1" applyFill="1" applyBorder="1" applyAlignment="1">
      <alignment horizontal="center" vertical="center"/>
    </xf>
    <xf numFmtId="49" fontId="12" fillId="19" borderId="1" xfId="0" applyNumberFormat="1" applyFont="1" applyFill="1" applyBorder="1" applyAlignment="1">
      <alignment horizontal="center" vertical="center"/>
    </xf>
    <xf numFmtId="49" fontId="15" fillId="3" borderId="1" xfId="0" applyNumberFormat="1" applyFont="1" applyFill="1" applyBorder="1" applyAlignment="1">
      <alignment horizontal="center" vertical="center"/>
    </xf>
    <xf numFmtId="49" fontId="14" fillId="20" borderId="8" xfId="0" applyNumberFormat="1" applyFont="1" applyFill="1" applyBorder="1" applyAlignment="1">
      <alignment horizontal="center" vertical="center"/>
    </xf>
    <xf numFmtId="49" fontId="12" fillId="3" borderId="2" xfId="0" applyNumberFormat="1" applyFont="1" applyFill="1" applyBorder="1" applyAlignment="1">
      <alignment horizontal="center" vertical="center"/>
    </xf>
    <xf numFmtId="49" fontId="12" fillId="12" borderId="2" xfId="0" applyNumberFormat="1" applyFont="1" applyFill="1" applyBorder="1" applyAlignment="1">
      <alignment horizontal="center" vertical="center"/>
    </xf>
    <xf numFmtId="49" fontId="12" fillId="19" borderId="2" xfId="0" applyNumberFormat="1" applyFont="1" applyFill="1" applyBorder="1" applyAlignment="1">
      <alignment horizontal="center" vertical="center"/>
    </xf>
    <xf numFmtId="49" fontId="13" fillId="14" borderId="2" xfId="0" applyNumberFormat="1" applyFont="1" applyFill="1" applyBorder="1" applyAlignment="1">
      <alignment horizontal="center" vertical="center"/>
    </xf>
    <xf numFmtId="49" fontId="12" fillId="3" borderId="11" xfId="0" applyNumberFormat="1" applyFont="1" applyFill="1" applyBorder="1" applyAlignment="1">
      <alignment horizontal="center" vertical="center"/>
    </xf>
    <xf numFmtId="49" fontId="12" fillId="12" borderId="3" xfId="0" applyNumberFormat="1" applyFont="1" applyFill="1" applyBorder="1" applyAlignment="1">
      <alignment horizontal="center" vertical="center"/>
    </xf>
    <xf numFmtId="49" fontId="12" fillId="19" borderId="3" xfId="0" applyNumberFormat="1" applyFont="1" applyFill="1" applyBorder="1" applyAlignment="1">
      <alignment horizontal="center" vertical="center"/>
    </xf>
    <xf numFmtId="49" fontId="13" fillId="14" borderId="11" xfId="0" applyNumberFormat="1" applyFont="1" applyFill="1" applyBorder="1" applyAlignment="1">
      <alignment horizontal="center" vertical="center"/>
    </xf>
    <xf numFmtId="49" fontId="12" fillId="3" borderId="14" xfId="0" applyNumberFormat="1" applyFont="1" applyFill="1" applyBorder="1" applyAlignment="1">
      <alignment horizontal="center" vertical="center"/>
    </xf>
    <xf numFmtId="49" fontId="12" fillId="19" borderId="8" xfId="0" applyNumberFormat="1" applyFont="1" applyFill="1" applyBorder="1" applyAlignment="1">
      <alignment horizontal="center" vertical="center"/>
    </xf>
    <xf numFmtId="49" fontId="13" fillId="14" borderId="14" xfId="0" applyNumberFormat="1" applyFont="1" applyFill="1" applyBorder="1" applyAlignment="1">
      <alignment horizontal="center" vertical="center"/>
    </xf>
    <xf numFmtId="49" fontId="13" fillId="14" borderId="15" xfId="0" applyNumberFormat="1" applyFont="1" applyFill="1" applyBorder="1" applyAlignment="1">
      <alignment horizontal="center" vertical="center"/>
    </xf>
    <xf numFmtId="49" fontId="12" fillId="12" borderId="12" xfId="0" applyNumberFormat="1" applyFont="1" applyFill="1" applyBorder="1" applyAlignment="1">
      <alignment horizontal="center" vertical="center"/>
    </xf>
    <xf numFmtId="49" fontId="12" fillId="19" borderId="12" xfId="0" applyNumberFormat="1" applyFont="1" applyFill="1" applyBorder="1" applyAlignment="1">
      <alignment horizontal="center" vertical="center"/>
    </xf>
    <xf numFmtId="49" fontId="12" fillId="14" borderId="16" xfId="0" applyNumberFormat="1" applyFont="1" applyFill="1" applyBorder="1" applyAlignment="1">
      <alignment horizontal="center" vertical="center"/>
    </xf>
    <xf numFmtId="49" fontId="11" fillId="14" borderId="12" xfId="0" applyNumberFormat="1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9" borderId="1" xfId="0" applyFont="1" applyFill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177" fontId="17" fillId="6" borderId="1" xfId="0" applyNumberFormat="1" applyFont="1" applyFill="1" applyBorder="1" applyAlignment="1">
      <alignment horizontal="left" vertical="center"/>
    </xf>
    <xf numFmtId="0" fontId="18" fillId="12" borderId="1" xfId="2" applyFont="1" applyFill="1" applyBorder="1">
      <alignment vertical="center"/>
    </xf>
    <xf numFmtId="0" fontId="2" fillId="14" borderId="1" xfId="0" applyFont="1" applyFill="1" applyBorder="1">
      <alignment vertical="center"/>
    </xf>
    <xf numFmtId="0" fontId="2" fillId="21" borderId="1" xfId="0" applyFont="1" applyFill="1" applyBorder="1">
      <alignment vertical="center"/>
    </xf>
    <xf numFmtId="0" fontId="2" fillId="22" borderId="1" xfId="0" applyFont="1" applyFill="1" applyBorder="1">
      <alignment vertical="center"/>
    </xf>
    <xf numFmtId="0" fontId="2" fillId="19" borderId="1" xfId="0" applyFont="1" applyFill="1" applyBorder="1">
      <alignment vertical="center"/>
    </xf>
    <xf numFmtId="0" fontId="2" fillId="14" borderId="5" xfId="0" applyFont="1" applyFill="1" applyBorder="1">
      <alignment vertical="center"/>
    </xf>
    <xf numFmtId="0" fontId="19" fillId="14" borderId="1" xfId="2" applyFont="1" applyFill="1" applyBorder="1">
      <alignment vertical="center"/>
    </xf>
    <xf numFmtId="0" fontId="19" fillId="3" borderId="1" xfId="2" applyFont="1" applyFill="1" applyBorder="1">
      <alignment vertical="center"/>
    </xf>
    <xf numFmtId="0" fontId="20" fillId="19" borderId="1" xfId="0" applyFont="1" applyFill="1" applyBorder="1">
      <alignment vertical="center"/>
    </xf>
    <xf numFmtId="0" fontId="4" fillId="21" borderId="1" xfId="0" applyFont="1" applyFill="1" applyBorder="1" applyAlignment="1">
      <alignment horizontal="center" vertical="center"/>
    </xf>
    <xf numFmtId="0" fontId="4" fillId="22" borderId="1" xfId="0" applyFont="1" applyFill="1" applyBorder="1" applyAlignment="1">
      <alignment horizontal="center" vertical="center"/>
    </xf>
    <xf numFmtId="0" fontId="4" fillId="19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4" fillId="21" borderId="5" xfId="0" applyFont="1" applyFill="1" applyBorder="1" applyAlignment="1">
      <alignment horizontal="center" vertical="center"/>
    </xf>
    <xf numFmtId="0" fontId="4" fillId="14" borderId="5" xfId="0" applyFont="1" applyFill="1" applyBorder="1" applyAlignment="1">
      <alignment horizontal="center" vertical="center"/>
    </xf>
    <xf numFmtId="0" fontId="2" fillId="2" borderId="1" xfId="0" applyFont="1" applyFill="1" applyBorder="1">
      <alignment vertical="center"/>
    </xf>
    <xf numFmtId="0" fontId="2" fillId="0" borderId="1" xfId="0" applyFont="1" applyBorder="1" applyAlignment="1">
      <alignment vertical="center" wrapText="1"/>
    </xf>
    <xf numFmtId="49" fontId="2" fillId="0" borderId="1" xfId="0" applyNumberFormat="1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4" fillId="4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25" borderId="1" xfId="0" applyFont="1" applyFill="1" applyBorder="1" applyAlignment="1">
      <alignment horizontal="center" vertical="center"/>
    </xf>
    <xf numFmtId="49" fontId="12" fillId="10" borderId="12" xfId="0" applyNumberFormat="1" applyFont="1" applyFill="1" applyBorder="1" applyAlignment="1">
      <alignment horizontal="center" vertical="center"/>
    </xf>
    <xf numFmtId="49" fontId="12" fillId="10" borderId="1" xfId="0" applyNumberFormat="1" applyFont="1" applyFill="1" applyBorder="1" applyAlignment="1">
      <alignment horizontal="center" vertical="center"/>
    </xf>
    <xf numFmtId="49" fontId="13" fillId="10" borderId="12" xfId="0" applyNumberFormat="1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0" borderId="4" xfId="0" applyFont="1" applyBorder="1">
      <alignment vertical="center"/>
    </xf>
    <xf numFmtId="0" fontId="2" fillId="0" borderId="3" xfId="0" applyFont="1" applyBorder="1" applyAlignment="1">
      <alignment horizontal="center" vertical="center" wrapText="1"/>
    </xf>
    <xf numFmtId="0" fontId="2" fillId="4" borderId="2" xfId="1" applyFont="1" applyFill="1" applyBorder="1">
      <alignment vertical="center"/>
    </xf>
    <xf numFmtId="14" fontId="2" fillId="0" borderId="1" xfId="1" applyNumberFormat="1" applyFont="1" applyBorder="1" applyAlignment="1">
      <alignment horizontal="center" vertical="center"/>
    </xf>
    <xf numFmtId="0" fontId="2" fillId="0" borderId="1" xfId="1" applyFont="1" applyBorder="1">
      <alignment vertical="center"/>
    </xf>
    <xf numFmtId="0" fontId="3" fillId="0" borderId="0" xfId="1">
      <alignment vertical="center"/>
    </xf>
    <xf numFmtId="0" fontId="2" fillId="4" borderId="1" xfId="1" applyFont="1" applyFill="1" applyBorder="1" applyAlignment="1">
      <alignment horizontal="center" vertical="center"/>
    </xf>
    <xf numFmtId="177" fontId="2" fillId="0" borderId="1" xfId="1" applyNumberFormat="1" applyFont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2" fillId="7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 shrinkToFit="1"/>
    </xf>
    <xf numFmtId="0" fontId="3" fillId="0" borderId="1" xfId="1" applyBorder="1">
      <alignment vertical="center"/>
    </xf>
    <xf numFmtId="49" fontId="12" fillId="14" borderId="17" xfId="0" applyNumberFormat="1" applyFont="1" applyFill="1" applyBorder="1" applyAlignment="1">
      <alignment horizontal="center" vertical="center"/>
    </xf>
    <xf numFmtId="0" fontId="2" fillId="0" borderId="5" xfId="1" applyFont="1" applyBorder="1">
      <alignment vertical="center"/>
    </xf>
    <xf numFmtId="0" fontId="11" fillId="7" borderId="5" xfId="0" applyFont="1" applyFill="1" applyBorder="1" applyAlignment="1">
      <alignment horizontal="center" vertical="center"/>
    </xf>
    <xf numFmtId="0" fontId="0" fillId="0" borderId="18" xfId="0" applyBorder="1">
      <alignment vertical="center"/>
    </xf>
    <xf numFmtId="0" fontId="2" fillId="2" borderId="18" xfId="1" applyFont="1" applyFill="1" applyBorder="1">
      <alignment vertical="center"/>
    </xf>
    <xf numFmtId="179" fontId="23" fillId="0" borderId="1" xfId="3" applyNumberFormat="1" applyFont="1" applyBorder="1" applyAlignment="1">
      <alignment horizontal="center" vertical="center"/>
    </xf>
    <xf numFmtId="180" fontId="2" fillId="0" borderId="1" xfId="3" applyNumberFormat="1" applyFont="1" applyBorder="1" applyAlignment="1">
      <alignment horizontal="center" vertical="center"/>
    </xf>
    <xf numFmtId="179" fontId="2" fillId="0" borderId="1" xfId="3" applyNumberFormat="1" applyFont="1" applyBorder="1" applyAlignment="1">
      <alignment horizontal="center" vertical="center"/>
    </xf>
    <xf numFmtId="0" fontId="25" fillId="3" borderId="1" xfId="0" applyFont="1" applyFill="1" applyBorder="1" applyAlignment="1">
      <alignment horizontal="center" vertical="center"/>
    </xf>
    <xf numFmtId="0" fontId="25" fillId="23" borderId="1" xfId="0" applyFont="1" applyFill="1" applyBorder="1" applyAlignment="1">
      <alignment horizontal="center" vertical="center"/>
    </xf>
    <xf numFmtId="0" fontId="25" fillId="26" borderId="1" xfId="0" applyFont="1" applyFill="1" applyBorder="1" applyAlignment="1">
      <alignment horizontal="center" vertical="center"/>
    </xf>
    <xf numFmtId="0" fontId="25" fillId="12" borderId="1" xfId="0" applyFont="1" applyFill="1" applyBorder="1" applyAlignment="1">
      <alignment horizontal="center" vertical="center"/>
    </xf>
    <xf numFmtId="0" fontId="0" fillId="0" borderId="0" xfId="0" applyAlignment="1"/>
    <xf numFmtId="177" fontId="6" fillId="0" borderId="1" xfId="0" applyNumberFormat="1" applyFont="1" applyBorder="1" applyAlignment="1">
      <alignment horizontal="center" vertical="center"/>
    </xf>
    <xf numFmtId="14" fontId="6" fillId="0" borderId="5" xfId="0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49" fontId="26" fillId="27" borderId="19" xfId="0" applyNumberFormat="1" applyFont="1" applyFill="1" applyBorder="1" applyAlignment="1">
      <alignment horizontal="center" vertical="center"/>
    </xf>
    <xf numFmtId="0" fontId="2" fillId="0" borderId="3" xfId="2" applyFont="1" applyBorder="1" applyAlignment="1">
      <alignment horizontal="center" vertical="center"/>
    </xf>
    <xf numFmtId="176" fontId="6" fillId="0" borderId="20" xfId="0" applyNumberFormat="1" applyFont="1" applyBorder="1" applyAlignment="1">
      <alignment horizontal="center" vertical="center"/>
    </xf>
    <xf numFmtId="176" fontId="6" fillId="0" borderId="19" xfId="0" applyNumberFormat="1" applyFont="1" applyBorder="1" applyAlignment="1">
      <alignment horizontal="center" vertical="center"/>
    </xf>
    <xf numFmtId="176" fontId="6" fillId="0" borderId="21" xfId="0" applyNumberFormat="1" applyFont="1" applyBorder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14" fontId="2" fillId="28" borderId="1" xfId="0" applyNumberFormat="1" applyFont="1" applyFill="1" applyBorder="1" applyAlignment="1">
      <alignment horizontal="center" vertical="center" wrapText="1"/>
    </xf>
    <xf numFmtId="0" fontId="28" fillId="29" borderId="1" xfId="0" applyFont="1" applyFill="1" applyBorder="1" applyAlignment="1">
      <alignment horizontal="center" vertical="center"/>
    </xf>
    <xf numFmtId="0" fontId="29" fillId="30" borderId="1" xfId="0" applyFont="1" applyFill="1" applyBorder="1" applyAlignment="1">
      <alignment horizontal="center" vertical="center"/>
    </xf>
    <xf numFmtId="0" fontId="29" fillId="31" borderId="1" xfId="0" applyFont="1" applyFill="1" applyBorder="1" applyAlignment="1">
      <alignment horizontal="center" vertical="center"/>
    </xf>
    <xf numFmtId="0" fontId="29" fillId="32" borderId="1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79" fontId="27" fillId="33" borderId="1" xfId="3" applyNumberFormat="1" applyFont="1" applyFill="1" applyBorder="1" applyAlignment="1">
      <alignment horizontal="center" vertical="center"/>
    </xf>
    <xf numFmtId="0" fontId="2" fillId="33" borderId="1" xfId="0" applyFont="1" applyFill="1" applyBorder="1" applyAlignment="1">
      <alignment horizontal="center" vertical="center"/>
    </xf>
    <xf numFmtId="14" fontId="2" fillId="33" borderId="1" xfId="0" applyNumberFormat="1" applyFont="1" applyFill="1" applyBorder="1" applyAlignment="1">
      <alignment horizontal="center" vertical="center"/>
    </xf>
    <xf numFmtId="0" fontId="2" fillId="33" borderId="1" xfId="0" applyFont="1" applyFill="1" applyBorder="1">
      <alignment vertical="center"/>
    </xf>
    <xf numFmtId="0" fontId="25" fillId="33" borderId="1" xfId="0" applyFont="1" applyFill="1" applyBorder="1" applyAlignment="1">
      <alignment horizontal="center" vertical="center"/>
    </xf>
    <xf numFmtId="181" fontId="30" fillId="34" borderId="1" xfId="0" applyNumberFormat="1" applyFont="1" applyFill="1" applyBorder="1" applyAlignment="1">
      <alignment horizontal="center" vertical="center"/>
    </xf>
    <xf numFmtId="181" fontId="30" fillId="34" borderId="22" xfId="0" applyNumberFormat="1" applyFont="1" applyFill="1" applyBorder="1" applyAlignment="1">
      <alignment horizontal="center" vertical="center"/>
    </xf>
    <xf numFmtId="0" fontId="25" fillId="19" borderId="1" xfId="0" applyFont="1" applyFill="1" applyBorder="1" applyAlignment="1">
      <alignment horizontal="center" vertical="center"/>
    </xf>
    <xf numFmtId="0" fontId="25" fillId="14" borderId="1" xfId="0" applyFont="1" applyFill="1" applyBorder="1" applyAlignment="1">
      <alignment horizontal="center" vertical="center"/>
    </xf>
    <xf numFmtId="0" fontId="25" fillId="35" borderId="1" xfId="0" applyFont="1" applyFill="1" applyBorder="1" applyAlignment="1">
      <alignment horizontal="center" vertical="center"/>
    </xf>
    <xf numFmtId="0" fontId="4" fillId="0" borderId="5" xfId="0" applyFont="1" applyBorder="1">
      <alignment vertical="center"/>
    </xf>
    <xf numFmtId="0" fontId="7" fillId="0" borderId="1" xfId="0" applyFont="1" applyBorder="1">
      <alignment vertical="center"/>
    </xf>
    <xf numFmtId="176" fontId="2" fillId="2" borderId="1" xfId="0" applyNumberFormat="1" applyFont="1" applyFill="1" applyBorder="1" applyAlignment="1">
      <alignment horizontal="center" vertical="center"/>
    </xf>
    <xf numFmtId="176" fontId="2" fillId="2" borderId="5" xfId="0" applyNumberFormat="1" applyFont="1" applyFill="1" applyBorder="1" applyAlignment="1">
      <alignment horizontal="center" vertical="center"/>
    </xf>
    <xf numFmtId="0" fontId="30" fillId="4" borderId="1" xfId="2" applyFont="1" applyFill="1" applyBorder="1" applyAlignment="1">
      <alignment horizontal="center" vertical="center"/>
    </xf>
    <xf numFmtId="176" fontId="2" fillId="24" borderId="1" xfId="0" applyNumberFormat="1" applyFont="1" applyFill="1" applyBorder="1" applyAlignment="1">
      <alignment horizontal="center" vertical="center"/>
    </xf>
    <xf numFmtId="176" fontId="2" fillId="24" borderId="5" xfId="0" applyNumberFormat="1" applyFont="1" applyFill="1" applyBorder="1" applyAlignment="1">
      <alignment horizontal="center" vertical="center"/>
    </xf>
    <xf numFmtId="179" fontId="30" fillId="0" borderId="1" xfId="2" applyNumberFormat="1" applyFont="1" applyBorder="1" applyAlignment="1">
      <alignment horizontal="center" vertical="center"/>
    </xf>
    <xf numFmtId="0" fontId="3" fillId="0" borderId="0" xfId="2">
      <alignment vertical="center"/>
    </xf>
    <xf numFmtId="176" fontId="31" fillId="19" borderId="1" xfId="2" applyNumberFormat="1" applyFont="1" applyFill="1" applyBorder="1" applyAlignment="1">
      <alignment horizontal="center" vertical="center" shrinkToFit="1"/>
    </xf>
    <xf numFmtId="0" fontId="30" fillId="0" borderId="1" xfId="2" applyFont="1" applyBorder="1" applyAlignment="1">
      <alignment horizontal="center" vertical="center"/>
    </xf>
    <xf numFmtId="177" fontId="17" fillId="37" borderId="1" xfId="0" applyNumberFormat="1" applyFont="1" applyFill="1" applyBorder="1" applyAlignment="1">
      <alignment horizontal="center" vertical="center"/>
    </xf>
    <xf numFmtId="0" fontId="30" fillId="19" borderId="1" xfId="2" applyFont="1" applyFill="1" applyBorder="1" applyAlignment="1">
      <alignment horizontal="center" vertical="center"/>
    </xf>
    <xf numFmtId="14" fontId="31" fillId="19" borderId="23" xfId="2" applyNumberFormat="1" applyFont="1" applyFill="1" applyBorder="1" applyAlignment="1">
      <alignment horizontal="center" vertical="center"/>
    </xf>
    <xf numFmtId="14" fontId="31" fillId="19" borderId="1" xfId="2" applyNumberFormat="1" applyFont="1" applyFill="1" applyBorder="1" applyAlignment="1">
      <alignment horizontal="center" vertical="center"/>
    </xf>
    <xf numFmtId="0" fontId="30" fillId="3" borderId="1" xfId="2" applyFont="1" applyFill="1" applyBorder="1" applyAlignment="1">
      <alignment horizontal="center" vertical="center"/>
    </xf>
    <xf numFmtId="182" fontId="30" fillId="19" borderId="1" xfId="2" applyNumberFormat="1" applyFont="1" applyFill="1" applyBorder="1" applyAlignment="1">
      <alignment horizontal="center" vertical="center"/>
    </xf>
    <xf numFmtId="0" fontId="2" fillId="19" borderId="1" xfId="0" applyFont="1" applyFill="1" applyBorder="1" applyAlignment="1">
      <alignment horizontal="left" vertical="center"/>
    </xf>
    <xf numFmtId="0" fontId="30" fillId="5" borderId="1" xfId="2" applyFont="1" applyFill="1" applyBorder="1" applyAlignment="1">
      <alignment horizontal="center" vertical="center"/>
    </xf>
    <xf numFmtId="176" fontId="30" fillId="19" borderId="1" xfId="2" applyNumberFormat="1" applyFont="1" applyFill="1" applyBorder="1" applyAlignment="1">
      <alignment horizontal="center" vertical="center"/>
    </xf>
    <xf numFmtId="0" fontId="2" fillId="22" borderId="1" xfId="0" applyFont="1" applyFill="1" applyBorder="1" applyAlignment="1">
      <alignment horizontal="left" vertical="center"/>
    </xf>
    <xf numFmtId="0" fontId="4" fillId="2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19" borderId="1" xfId="0" applyFont="1" applyFill="1" applyBorder="1" applyAlignment="1">
      <alignment horizontal="left" vertical="center"/>
    </xf>
    <xf numFmtId="0" fontId="4" fillId="14" borderId="1" xfId="0" applyFont="1" applyFill="1" applyBorder="1">
      <alignment vertical="center"/>
    </xf>
    <xf numFmtId="0" fontId="4" fillId="3" borderId="1" xfId="0" applyFont="1" applyFill="1" applyBorder="1">
      <alignment vertical="center"/>
    </xf>
    <xf numFmtId="0" fontId="4" fillId="22" borderId="1" xfId="0" applyFont="1" applyFill="1" applyBorder="1">
      <alignment vertical="center"/>
    </xf>
    <xf numFmtId="0" fontId="4" fillId="19" borderId="1" xfId="0" applyFont="1" applyFill="1" applyBorder="1">
      <alignment vertical="center"/>
    </xf>
    <xf numFmtId="179" fontId="30" fillId="19" borderId="1" xfId="2" applyNumberFormat="1" applyFont="1" applyFill="1" applyBorder="1" applyAlignment="1">
      <alignment horizontal="center" vertical="center"/>
    </xf>
    <xf numFmtId="14" fontId="4" fillId="14" borderId="1" xfId="0" applyNumberFormat="1" applyFont="1" applyFill="1" applyBorder="1">
      <alignment vertical="center"/>
    </xf>
    <xf numFmtId="14" fontId="4" fillId="3" borderId="1" xfId="0" applyNumberFormat="1" applyFont="1" applyFill="1" applyBorder="1">
      <alignment vertical="center"/>
    </xf>
    <xf numFmtId="14" fontId="4" fillId="22" borderId="1" xfId="0" applyNumberFormat="1" applyFont="1" applyFill="1" applyBorder="1">
      <alignment vertical="center"/>
    </xf>
    <xf numFmtId="14" fontId="4" fillId="19" borderId="1" xfId="0" applyNumberFormat="1" applyFont="1" applyFill="1" applyBorder="1">
      <alignment vertical="center"/>
    </xf>
    <xf numFmtId="183" fontId="15" fillId="0" borderId="1" xfId="0" applyNumberFormat="1" applyFont="1" applyBorder="1">
      <alignment vertical="center"/>
    </xf>
    <xf numFmtId="0" fontId="2" fillId="24" borderId="1" xfId="0" applyFont="1" applyFill="1" applyBorder="1">
      <alignment vertical="center"/>
    </xf>
    <xf numFmtId="179" fontId="32" fillId="0" borderId="1" xfId="0" applyNumberFormat="1" applyFont="1" applyBorder="1" applyAlignment="1">
      <alignment horizontal="center" vertical="center"/>
    </xf>
    <xf numFmtId="0" fontId="33" fillId="24" borderId="1" xfId="0" applyFont="1" applyFill="1" applyBorder="1">
      <alignment vertical="center"/>
    </xf>
    <xf numFmtId="49" fontId="14" fillId="20" borderId="1" xfId="0" applyNumberFormat="1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49" fontId="12" fillId="14" borderId="3" xfId="0" applyNumberFormat="1" applyFont="1" applyFill="1" applyBorder="1" applyAlignment="1">
      <alignment horizontal="center" vertical="center"/>
    </xf>
    <xf numFmtId="49" fontId="13" fillId="14" borderId="3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2" fillId="5" borderId="1" xfId="0" applyFont="1" applyFill="1" applyBorder="1" applyAlignment="1">
      <alignment horizontal="center" vertical="center"/>
    </xf>
    <xf numFmtId="178" fontId="35" fillId="38" borderId="1" xfId="0" applyNumberFormat="1" applyFont="1" applyFill="1" applyBorder="1" applyAlignment="1">
      <alignment horizontal="center" vertical="center"/>
    </xf>
    <xf numFmtId="0" fontId="35" fillId="38" borderId="1" xfId="0" applyFont="1" applyFill="1" applyBorder="1" applyAlignment="1">
      <alignment horizontal="left" vertical="center"/>
    </xf>
    <xf numFmtId="49" fontId="17" fillId="27" borderId="19" xfId="0" applyNumberFormat="1" applyFont="1" applyFill="1" applyBorder="1" applyAlignment="1">
      <alignment horizontal="center" vertical="center"/>
    </xf>
    <xf numFmtId="0" fontId="4" fillId="23" borderId="1" xfId="1" applyFont="1" applyFill="1" applyBorder="1" applyAlignment="1">
      <alignment horizontal="center" vertical="center"/>
    </xf>
    <xf numFmtId="176" fontId="4" fillId="23" borderId="1" xfId="1" applyNumberFormat="1" applyFont="1" applyFill="1" applyBorder="1" applyAlignment="1">
      <alignment horizontal="center" vertical="center"/>
    </xf>
    <xf numFmtId="0" fontId="4" fillId="23" borderId="5" xfId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176" fontId="4" fillId="0" borderId="1" xfId="2" applyNumberFormat="1" applyFont="1" applyBorder="1" applyAlignment="1">
      <alignment horizontal="center" vertical="center"/>
    </xf>
    <xf numFmtId="49" fontId="4" fillId="39" borderId="1" xfId="3" applyNumberFormat="1" applyFont="1" applyFill="1" applyBorder="1" applyAlignment="1">
      <alignment horizontal="center" vertical="center"/>
    </xf>
    <xf numFmtId="49" fontId="15" fillId="40" borderId="1" xfId="3" applyNumberFormat="1" applyFont="1" applyFill="1" applyBorder="1" applyAlignment="1">
      <alignment horizontal="center" vertical="center"/>
    </xf>
    <xf numFmtId="49" fontId="15" fillId="41" borderId="1" xfId="3" applyNumberFormat="1" applyFont="1" applyFill="1" applyBorder="1" applyAlignment="1">
      <alignment horizontal="center" vertical="center"/>
    </xf>
    <xf numFmtId="49" fontId="15" fillId="42" borderId="1" xfId="3" applyNumberFormat="1" applyFont="1" applyFill="1" applyBorder="1" applyAlignment="1">
      <alignment horizontal="center" vertical="center"/>
    </xf>
    <xf numFmtId="14" fontId="4" fillId="0" borderId="1" xfId="1" applyNumberFormat="1" applyFont="1" applyBorder="1" applyAlignment="1">
      <alignment horizontal="center" vertical="center"/>
    </xf>
    <xf numFmtId="49" fontId="15" fillId="43" borderId="21" xfId="1" applyNumberFormat="1" applyFont="1" applyFill="1" applyBorder="1" applyAlignment="1">
      <alignment horizontal="center" vertical="center"/>
    </xf>
    <xf numFmtId="49" fontId="15" fillId="43" borderId="19" xfId="1" applyNumberFormat="1" applyFont="1" applyFill="1" applyBorder="1" applyAlignment="1">
      <alignment horizontal="center" vertical="center"/>
    </xf>
    <xf numFmtId="49" fontId="15" fillId="20" borderId="19" xfId="1" applyNumberFormat="1" applyFont="1" applyFill="1" applyBorder="1" applyAlignment="1">
      <alignment horizontal="center" vertical="center"/>
    </xf>
    <xf numFmtId="49" fontId="15" fillId="44" borderId="19" xfId="1" applyNumberFormat="1" applyFont="1" applyFill="1" applyBorder="1" applyAlignment="1">
      <alignment horizontal="center" vertical="center"/>
    </xf>
    <xf numFmtId="49" fontId="15" fillId="44" borderId="26" xfId="1" applyNumberFormat="1" applyFont="1" applyFill="1" applyBorder="1" applyAlignment="1">
      <alignment horizontal="center" vertical="center"/>
    </xf>
    <xf numFmtId="49" fontId="15" fillId="40" borderId="1" xfId="1" applyNumberFormat="1" applyFont="1" applyFill="1" applyBorder="1" applyAlignment="1">
      <alignment horizontal="center" vertical="center"/>
    </xf>
    <xf numFmtId="49" fontId="4" fillId="40" borderId="1" xfId="1" applyNumberFormat="1" applyFont="1" applyFill="1" applyBorder="1" applyAlignment="1">
      <alignment horizontal="center" vertical="center"/>
    </xf>
    <xf numFmtId="177" fontId="17" fillId="0" borderId="1" xfId="1" applyNumberFormat="1" applyFont="1" applyBorder="1" applyAlignment="1">
      <alignment horizontal="center" vertical="center"/>
    </xf>
    <xf numFmtId="49" fontId="15" fillId="20" borderId="21" xfId="1" applyNumberFormat="1" applyFont="1" applyFill="1" applyBorder="1" applyAlignment="1">
      <alignment horizontal="center" vertical="center"/>
    </xf>
    <xf numFmtId="49" fontId="15" fillId="45" borderId="19" xfId="1" applyNumberFormat="1" applyFont="1" applyFill="1" applyBorder="1" applyAlignment="1">
      <alignment horizontal="center" vertical="center"/>
    </xf>
    <xf numFmtId="49" fontId="15" fillId="46" borderId="19" xfId="1" applyNumberFormat="1" applyFont="1" applyFill="1" applyBorder="1" applyAlignment="1">
      <alignment horizontal="center" vertical="center"/>
    </xf>
    <xf numFmtId="49" fontId="15" fillId="47" borderId="19" xfId="1" applyNumberFormat="1" applyFont="1" applyFill="1" applyBorder="1" applyAlignment="1">
      <alignment horizontal="center" vertical="center"/>
    </xf>
    <xf numFmtId="49" fontId="15" fillId="48" borderId="19" xfId="1" applyNumberFormat="1" applyFont="1" applyFill="1" applyBorder="1" applyAlignment="1">
      <alignment horizontal="center" vertical="center"/>
    </xf>
    <xf numFmtId="49" fontId="15" fillId="49" borderId="19" xfId="1" applyNumberFormat="1" applyFont="1" applyFill="1" applyBorder="1" applyAlignment="1">
      <alignment horizontal="center" vertical="center"/>
    </xf>
    <xf numFmtId="49" fontId="15" fillId="49" borderId="26" xfId="1" applyNumberFormat="1" applyFont="1" applyFill="1" applyBorder="1" applyAlignment="1">
      <alignment horizontal="center" vertical="center"/>
    </xf>
    <xf numFmtId="49" fontId="15" fillId="50" borderId="1" xfId="1" applyNumberFormat="1" applyFont="1" applyFill="1" applyBorder="1" applyAlignment="1">
      <alignment horizontal="center" vertical="center"/>
    </xf>
    <xf numFmtId="49" fontId="4" fillId="51" borderId="1" xfId="1" applyNumberFormat="1" applyFont="1" applyFill="1" applyBorder="1" applyAlignment="1">
      <alignment horizontal="center" vertical="center"/>
    </xf>
    <xf numFmtId="49" fontId="15" fillId="51" borderId="1" xfId="1" applyNumberFormat="1" applyFont="1" applyFill="1" applyBorder="1" applyAlignment="1">
      <alignment horizontal="center" vertical="center"/>
    </xf>
    <xf numFmtId="177" fontId="4" fillId="0" borderId="1" xfId="1" applyNumberFormat="1" applyFont="1" applyBorder="1" applyAlignment="1">
      <alignment horizontal="center" vertical="center"/>
    </xf>
    <xf numFmtId="49" fontId="15" fillId="39" borderId="1" xfId="1" applyNumberFormat="1" applyFont="1" applyFill="1" applyBorder="1" applyAlignment="1">
      <alignment horizontal="center" vertical="center"/>
    </xf>
    <xf numFmtId="49" fontId="15" fillId="52" borderId="1" xfId="1" applyNumberFormat="1" applyFont="1" applyFill="1" applyBorder="1" applyAlignment="1">
      <alignment horizontal="center" vertical="center"/>
    </xf>
    <xf numFmtId="49" fontId="15" fillId="44" borderId="1" xfId="1" applyNumberFormat="1" applyFont="1" applyFill="1" applyBorder="1" applyAlignment="1">
      <alignment horizontal="center" vertical="center"/>
    </xf>
    <xf numFmtId="49" fontId="4" fillId="44" borderId="1" xfId="1" applyNumberFormat="1" applyFont="1" applyFill="1" applyBorder="1" applyAlignment="1">
      <alignment horizontal="center" vertical="center"/>
    </xf>
    <xf numFmtId="176" fontId="4" fillId="0" borderId="1" xfId="1" applyNumberFormat="1" applyFont="1" applyBorder="1" applyAlignment="1">
      <alignment horizontal="center" vertical="center"/>
    </xf>
    <xf numFmtId="0" fontId="4" fillId="13" borderId="1" xfId="1" applyFont="1" applyFill="1" applyBorder="1" applyAlignment="1">
      <alignment horizontal="center" vertical="center"/>
    </xf>
    <xf numFmtId="0" fontId="4" fillId="11" borderId="1" xfId="1" applyFont="1" applyFill="1" applyBorder="1" applyAlignment="1">
      <alignment horizontal="center" vertical="center"/>
    </xf>
    <xf numFmtId="0" fontId="4" fillId="15" borderId="1" xfId="1" applyFont="1" applyFill="1" applyBorder="1" applyAlignment="1">
      <alignment horizontal="center" vertical="center"/>
    </xf>
    <xf numFmtId="0" fontId="4" fillId="16" borderId="1" xfId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left" vertical="center"/>
    </xf>
    <xf numFmtId="0" fontId="4" fillId="6" borderId="1" xfId="1" applyFont="1" applyFill="1" applyBorder="1" applyAlignment="1">
      <alignment horizontal="center" vertical="center"/>
    </xf>
    <xf numFmtId="0" fontId="4" fillId="5" borderId="1" xfId="1" applyFont="1" applyFill="1" applyBorder="1" applyAlignment="1">
      <alignment horizontal="center" vertical="center"/>
    </xf>
    <xf numFmtId="0" fontId="4" fillId="17" borderId="1" xfId="1" applyFont="1" applyFill="1" applyBorder="1" applyAlignment="1">
      <alignment horizontal="center" vertical="center"/>
    </xf>
    <xf numFmtId="0" fontId="4" fillId="8" borderId="1" xfId="1" applyFont="1" applyFill="1" applyBorder="1" applyAlignment="1">
      <alignment horizontal="center" vertical="center"/>
    </xf>
    <xf numFmtId="0" fontId="4" fillId="9" borderId="1" xfId="1" applyFont="1" applyFill="1" applyBorder="1" applyAlignment="1">
      <alignment horizontal="center" vertical="center"/>
    </xf>
    <xf numFmtId="0" fontId="4" fillId="53" borderId="1" xfId="1" applyFont="1" applyFill="1" applyBorder="1" applyAlignment="1">
      <alignment horizontal="center" vertical="center"/>
    </xf>
    <xf numFmtId="0" fontId="4" fillId="0" borderId="0" xfId="1" applyFont="1" applyAlignment="1">
      <alignment horizontal="left" vertical="center"/>
    </xf>
    <xf numFmtId="0" fontId="4" fillId="54" borderId="1" xfId="1" applyFont="1" applyFill="1" applyBorder="1" applyAlignment="1">
      <alignment horizontal="center" vertical="center"/>
    </xf>
    <xf numFmtId="0" fontId="2" fillId="4" borderId="2" xfId="0" applyFont="1" applyFill="1" applyBorder="1">
      <alignment vertical="center"/>
    </xf>
    <xf numFmtId="0" fontId="2" fillId="4" borderId="3" xfId="0" applyFont="1" applyFill="1" applyBorder="1">
      <alignment vertical="center"/>
    </xf>
    <xf numFmtId="49" fontId="17" fillId="0" borderId="1" xfId="0" applyNumberFormat="1" applyFont="1" applyBorder="1" applyAlignment="1">
      <alignment horizontal="center" vertical="center" shrinkToFit="1"/>
    </xf>
    <xf numFmtId="177" fontId="17" fillId="0" borderId="1" xfId="0" applyNumberFormat="1" applyFont="1" applyBorder="1" applyAlignment="1">
      <alignment horizontal="center" vertical="center"/>
    </xf>
    <xf numFmtId="0" fontId="22" fillId="34" borderId="1" xfId="0" applyFont="1" applyFill="1" applyBorder="1">
      <alignment vertical="center"/>
    </xf>
    <xf numFmtId="49" fontId="26" fillId="27" borderId="1" xfId="0" applyNumberFormat="1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2" fillId="21" borderId="1" xfId="0" applyFont="1" applyFill="1" applyBorder="1" applyAlignment="1">
      <alignment horizontal="center" vertical="center"/>
    </xf>
    <xf numFmtId="49" fontId="17" fillId="27" borderId="1" xfId="0" applyNumberFormat="1" applyFont="1" applyFill="1" applyBorder="1" applyAlignment="1">
      <alignment horizontal="center" vertical="center"/>
    </xf>
    <xf numFmtId="0" fontId="6" fillId="21" borderId="1" xfId="0" applyFont="1" applyFill="1" applyBorder="1">
      <alignment vertical="center"/>
    </xf>
    <xf numFmtId="0" fontId="6" fillId="21" borderId="1" xfId="0" applyFont="1" applyFill="1" applyBorder="1" applyAlignment="1">
      <alignment horizontal="center" vertical="center"/>
    </xf>
    <xf numFmtId="0" fontId="4" fillId="23" borderId="1" xfId="0" applyFont="1" applyFill="1" applyBorder="1" applyAlignment="1">
      <alignment horizontal="center" vertical="center"/>
    </xf>
    <xf numFmtId="176" fontId="4" fillId="23" borderId="1" xfId="0" applyNumberFormat="1" applyFont="1" applyFill="1" applyBorder="1" applyAlignment="1">
      <alignment horizontal="center" vertical="center"/>
    </xf>
    <xf numFmtId="0" fontId="4" fillId="23" borderId="27" xfId="0" applyFont="1" applyFill="1" applyBorder="1" applyAlignment="1">
      <alignment horizontal="center" vertical="center"/>
    </xf>
    <xf numFmtId="0" fontId="4" fillId="23" borderId="5" xfId="0" applyFont="1" applyFill="1" applyBorder="1" applyAlignment="1">
      <alignment horizontal="center" vertical="center"/>
    </xf>
    <xf numFmtId="0" fontId="4" fillId="0" borderId="1" xfId="4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4" fillId="0" borderId="1" xfId="4" applyNumberFormat="1" applyFont="1" applyBorder="1" applyAlignment="1">
      <alignment horizontal="center" vertical="center"/>
    </xf>
    <xf numFmtId="49" fontId="15" fillId="20" borderId="19" xfId="0" applyNumberFormat="1" applyFont="1" applyFill="1" applyBorder="1" applyAlignment="1">
      <alignment horizontal="center" vertical="center"/>
    </xf>
    <xf numFmtId="49" fontId="15" fillId="45" borderId="19" xfId="0" applyNumberFormat="1" applyFont="1" applyFill="1" applyBorder="1" applyAlignment="1">
      <alignment horizontal="center" vertical="center"/>
    </xf>
    <xf numFmtId="49" fontId="15" fillId="46" borderId="19" xfId="0" applyNumberFormat="1" applyFont="1" applyFill="1" applyBorder="1" applyAlignment="1">
      <alignment horizontal="center" vertical="center"/>
    </xf>
    <xf numFmtId="49" fontId="15" fillId="47" borderId="19" xfId="0" applyNumberFormat="1" applyFont="1" applyFill="1" applyBorder="1" applyAlignment="1">
      <alignment horizontal="center" vertical="center"/>
    </xf>
    <xf numFmtId="49" fontId="15" fillId="48" borderId="19" xfId="0" applyNumberFormat="1" applyFont="1" applyFill="1" applyBorder="1" applyAlignment="1">
      <alignment horizontal="center" vertical="center"/>
    </xf>
    <xf numFmtId="49" fontId="15" fillId="49" borderId="19" xfId="0" applyNumberFormat="1" applyFont="1" applyFill="1" applyBorder="1" applyAlignment="1">
      <alignment horizontal="center" vertical="center"/>
    </xf>
    <xf numFmtId="49" fontId="15" fillId="49" borderId="26" xfId="0" applyNumberFormat="1" applyFont="1" applyFill="1" applyBorder="1" applyAlignment="1">
      <alignment horizontal="center" vertical="center"/>
    </xf>
    <xf numFmtId="49" fontId="15" fillId="50" borderId="1" xfId="0" applyNumberFormat="1" applyFont="1" applyFill="1" applyBorder="1" applyAlignment="1">
      <alignment horizontal="center" vertical="center"/>
    </xf>
    <xf numFmtId="49" fontId="4" fillId="51" borderId="1" xfId="0" applyNumberFormat="1" applyFont="1" applyFill="1" applyBorder="1" applyAlignment="1">
      <alignment horizontal="center" vertical="center"/>
    </xf>
    <xf numFmtId="49" fontId="15" fillId="51" borderId="1" xfId="0" applyNumberFormat="1" applyFont="1" applyFill="1" applyBorder="1" applyAlignment="1">
      <alignment horizontal="center" vertical="center"/>
    </xf>
    <xf numFmtId="0" fontId="2" fillId="0" borderId="1" xfId="4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55" borderId="1" xfId="0" applyFont="1" applyFill="1" applyBorder="1" applyAlignment="1">
      <alignment horizontal="center" vertical="center"/>
    </xf>
    <xf numFmtId="14" fontId="4" fillId="0" borderId="0" xfId="4" applyNumberFormat="1" applyFont="1" applyAlignment="1">
      <alignment horizontal="center" vertical="center"/>
    </xf>
    <xf numFmtId="49" fontId="15" fillId="40" borderId="1" xfId="0" applyNumberFormat="1" applyFont="1" applyFill="1" applyBorder="1" applyAlignment="1">
      <alignment horizontal="center" vertical="center"/>
    </xf>
    <xf numFmtId="49" fontId="15" fillId="39" borderId="1" xfId="0" applyNumberFormat="1" applyFont="1" applyFill="1" applyBorder="1" applyAlignment="1">
      <alignment horizontal="center" vertical="center"/>
    </xf>
    <xf numFmtId="49" fontId="15" fillId="52" borderId="1" xfId="0" applyNumberFormat="1" applyFont="1" applyFill="1" applyBorder="1" applyAlignment="1">
      <alignment horizontal="center" vertical="center"/>
    </xf>
    <xf numFmtId="49" fontId="15" fillId="44" borderId="1" xfId="0" applyNumberFormat="1" applyFont="1" applyFill="1" applyBorder="1" applyAlignment="1">
      <alignment horizontal="center" vertical="center"/>
    </xf>
    <xf numFmtId="49" fontId="4" fillId="44" borderId="1" xfId="0" applyNumberFormat="1" applyFont="1" applyFill="1" applyBorder="1" applyAlignment="1">
      <alignment horizontal="center" vertical="center"/>
    </xf>
    <xf numFmtId="0" fontId="2" fillId="0" borderId="1" xfId="4" applyFont="1" applyBorder="1">
      <alignment vertical="center"/>
    </xf>
    <xf numFmtId="0" fontId="4" fillId="0" borderId="3" xfId="0" applyFont="1" applyBorder="1" applyAlignment="1">
      <alignment horizontal="center" vertical="center"/>
    </xf>
    <xf numFmtId="0" fontId="4" fillId="3" borderId="2" xfId="4" applyFont="1" applyFill="1" applyBorder="1" applyAlignment="1">
      <alignment horizontal="center" vertical="center"/>
    </xf>
    <xf numFmtId="0" fontId="4" fillId="3" borderId="1" xfId="4" applyFont="1" applyFill="1" applyBorder="1" applyAlignment="1">
      <alignment horizontal="center" vertical="center"/>
    </xf>
    <xf numFmtId="14" fontId="2" fillId="0" borderId="1" xfId="4" applyNumberFormat="1" applyFont="1" applyBorder="1" applyAlignment="1">
      <alignment horizontal="center" vertical="center"/>
    </xf>
    <xf numFmtId="176" fontId="17" fillId="0" borderId="1" xfId="1" applyNumberFormat="1" applyFont="1" applyBorder="1" applyAlignment="1">
      <alignment horizontal="center" vertical="center"/>
    </xf>
    <xf numFmtId="0" fontId="2" fillId="14" borderId="1" xfId="4" applyFont="1" applyFill="1" applyBorder="1">
      <alignment vertical="center"/>
    </xf>
    <xf numFmtId="0" fontId="2" fillId="21" borderId="1" xfId="4" applyFont="1" applyFill="1" applyBorder="1">
      <alignment vertical="center"/>
    </xf>
    <xf numFmtId="0" fontId="2" fillId="22" borderId="1" xfId="4" applyFont="1" applyFill="1" applyBorder="1">
      <alignment vertical="center"/>
    </xf>
    <xf numFmtId="0" fontId="2" fillId="19" borderId="1" xfId="4" applyFont="1" applyFill="1" applyBorder="1">
      <alignment vertical="center"/>
    </xf>
    <xf numFmtId="0" fontId="2" fillId="14" borderId="5" xfId="4" applyFont="1" applyFill="1" applyBorder="1">
      <alignment vertical="center"/>
    </xf>
    <xf numFmtId="0" fontId="2" fillId="14" borderId="1" xfId="4" applyFont="1" applyFill="1" applyBorder="1" applyAlignment="1">
      <alignment horizontal="center" vertical="center"/>
    </xf>
    <xf numFmtId="0" fontId="2" fillId="21" borderId="1" xfId="4" applyFont="1" applyFill="1" applyBorder="1" applyAlignment="1">
      <alignment horizontal="center" vertical="center"/>
    </xf>
    <xf numFmtId="0" fontId="2" fillId="22" borderId="1" xfId="4" applyFont="1" applyFill="1" applyBorder="1" applyAlignment="1">
      <alignment horizontal="center" vertical="center"/>
    </xf>
    <xf numFmtId="0" fontId="2" fillId="19" borderId="1" xfId="4" applyFont="1" applyFill="1" applyBorder="1" applyAlignment="1">
      <alignment horizontal="center" vertical="center"/>
    </xf>
    <xf numFmtId="0" fontId="2" fillId="14" borderId="5" xfId="4" applyFont="1" applyFill="1" applyBorder="1" applyAlignment="1">
      <alignment horizontal="center" vertical="center"/>
    </xf>
    <xf numFmtId="0" fontId="2" fillId="0" borderId="1" xfId="4" applyFont="1" applyBorder="1" applyAlignment="1">
      <alignment horizontal="left" vertical="center"/>
    </xf>
    <xf numFmtId="0" fontId="2" fillId="21" borderId="5" xfId="4" applyFont="1" applyFill="1" applyBorder="1" applyAlignment="1">
      <alignment horizontal="center" vertical="center"/>
    </xf>
    <xf numFmtId="14" fontId="17" fillId="0" borderId="1" xfId="0" applyNumberFormat="1" applyFont="1" applyBorder="1" applyAlignment="1">
      <alignment horizontal="center"/>
    </xf>
    <xf numFmtId="176" fontId="17" fillId="0" borderId="1" xfId="0" applyNumberFormat="1" applyFont="1" applyBorder="1" applyAlignment="1">
      <alignment horizontal="center" vertical="center"/>
    </xf>
    <xf numFmtId="0" fontId="3" fillId="0" borderId="0" xfId="4">
      <alignment vertical="center"/>
    </xf>
    <xf numFmtId="0" fontId="10" fillId="0" borderId="1" xfId="4" applyFont="1" applyBorder="1">
      <alignment vertical="center"/>
    </xf>
    <xf numFmtId="14" fontId="17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38" fillId="23" borderId="1" xfId="0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1" xfId="4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14" borderId="2" xfId="0" applyFont="1" applyFill="1" applyBorder="1" applyAlignment="1">
      <alignment horizontal="center" vertical="center"/>
    </xf>
    <xf numFmtId="0" fontId="39" fillId="0" borderId="1" xfId="0" applyFont="1" applyBorder="1">
      <alignment vertical="center"/>
    </xf>
    <xf numFmtId="0" fontId="39" fillId="0" borderId="1" xfId="0" applyFont="1" applyBorder="1" applyAlignment="1">
      <alignment horizontal="left" vertical="center"/>
    </xf>
    <xf numFmtId="0" fontId="30" fillId="56" borderId="1" xfId="0" applyFont="1" applyFill="1" applyBorder="1" applyAlignment="1">
      <alignment horizontal="center" vertical="center"/>
    </xf>
    <xf numFmtId="14" fontId="30" fillId="56" borderId="1" xfId="0" applyNumberFormat="1" applyFont="1" applyFill="1" applyBorder="1" applyAlignment="1">
      <alignment horizontal="center" vertical="center"/>
    </xf>
    <xf numFmtId="0" fontId="30" fillId="56" borderId="1" xfId="0" applyFont="1" applyFill="1" applyBorder="1">
      <alignment vertical="center"/>
    </xf>
    <xf numFmtId="0" fontId="30" fillId="56" borderId="0" xfId="0" applyFont="1" applyFill="1">
      <alignment vertical="center"/>
    </xf>
    <xf numFmtId="177" fontId="6" fillId="12" borderId="1" xfId="0" applyNumberFormat="1" applyFont="1" applyFill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40" fillId="2" borderId="1" xfId="0" applyFont="1" applyFill="1" applyBorder="1" applyAlignment="1">
      <alignment horizontal="center" vertical="center"/>
    </xf>
    <xf numFmtId="0" fontId="40" fillId="12" borderId="1" xfId="0" applyFont="1" applyFill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1" fillId="34" borderId="1" xfId="0" applyFont="1" applyFill="1" applyBorder="1" applyAlignment="1">
      <alignment horizontal="center" vertical="center"/>
    </xf>
    <xf numFmtId="0" fontId="41" fillId="36" borderId="1" xfId="0" applyFont="1" applyFill="1" applyBorder="1" applyAlignment="1">
      <alignment horizontal="center" vertical="center"/>
    </xf>
    <xf numFmtId="49" fontId="26" fillId="0" borderId="1" xfId="0" applyNumberFormat="1" applyFont="1" applyBorder="1" applyAlignment="1">
      <alignment horizontal="center" vertical="center" shrinkToFit="1"/>
    </xf>
    <xf numFmtId="49" fontId="26" fillId="12" borderId="1" xfId="0" applyNumberFormat="1" applyFont="1" applyFill="1" applyBorder="1" applyAlignment="1">
      <alignment horizontal="center" vertical="center" shrinkToFit="1"/>
    </xf>
    <xf numFmtId="0" fontId="26" fillId="0" borderId="1" xfId="0" applyFont="1" applyBorder="1" applyAlignment="1">
      <alignment horizontal="center" vertical="center"/>
    </xf>
    <xf numFmtId="0" fontId="26" fillId="12" borderId="1" xfId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>
      <alignment vertical="center"/>
    </xf>
    <xf numFmtId="0" fontId="2" fillId="0" borderId="3" xfId="0" applyFont="1" applyBorder="1">
      <alignment vertical="center"/>
    </xf>
    <xf numFmtId="0" fontId="40" fillId="12" borderId="2" xfId="0" applyFont="1" applyFill="1" applyBorder="1" applyAlignment="1">
      <alignment horizontal="center" vertical="center"/>
    </xf>
    <xf numFmtId="0" fontId="40" fillId="12" borderId="3" xfId="0" applyFont="1" applyFill="1" applyBorder="1" applyAlignment="1">
      <alignment horizontal="center" vertical="center"/>
    </xf>
    <xf numFmtId="0" fontId="40" fillId="2" borderId="2" xfId="0" applyFont="1" applyFill="1" applyBorder="1" applyAlignment="1">
      <alignment horizontal="center" vertical="center"/>
    </xf>
    <xf numFmtId="0" fontId="40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0" fillId="19" borderId="3" xfId="0" applyFill="1" applyBorder="1" applyAlignment="1">
      <alignment horizontal="center" vertical="center"/>
    </xf>
    <xf numFmtId="0" fontId="2" fillId="15" borderId="2" xfId="4" applyFont="1" applyFill="1" applyBorder="1" applyAlignment="1">
      <alignment horizontal="center" vertical="center"/>
    </xf>
    <xf numFmtId="0" fontId="2" fillId="15" borderId="4" xfId="4" applyFont="1" applyFill="1" applyBorder="1" applyAlignment="1">
      <alignment horizontal="center" vertical="center"/>
    </xf>
    <xf numFmtId="0" fontId="2" fillId="15" borderId="3" xfId="4" applyFont="1" applyFill="1" applyBorder="1" applyAlignment="1">
      <alignment horizontal="center" vertical="center"/>
    </xf>
    <xf numFmtId="0" fontId="2" fillId="15" borderId="2" xfId="4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/>
    </xf>
    <xf numFmtId="0" fontId="4" fillId="3" borderId="2" xfId="4" applyFont="1" applyFill="1" applyBorder="1" applyAlignment="1">
      <alignment horizontal="center" vertical="center"/>
    </xf>
    <xf numFmtId="0" fontId="4" fillId="3" borderId="3" xfId="4" applyFont="1" applyFill="1" applyBorder="1" applyAlignment="1">
      <alignment horizontal="center" vertical="center"/>
    </xf>
    <xf numFmtId="0" fontId="2" fillId="2" borderId="2" xfId="4" applyFont="1" applyFill="1" applyBorder="1" applyAlignment="1">
      <alignment horizontal="center" vertical="center"/>
    </xf>
    <xf numFmtId="0" fontId="2" fillId="2" borderId="3" xfId="4" applyFont="1" applyFill="1" applyBorder="1" applyAlignment="1">
      <alignment horizontal="center" vertical="center"/>
    </xf>
    <xf numFmtId="0" fontId="26" fillId="12" borderId="2" xfId="1" applyFont="1" applyFill="1" applyBorder="1" applyAlignment="1">
      <alignment horizontal="center" vertical="center"/>
    </xf>
    <xf numFmtId="0" fontId="26" fillId="12" borderId="3" xfId="1" applyFont="1" applyFill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177" fontId="4" fillId="0" borderId="2" xfId="1" applyNumberFormat="1" applyFont="1" applyBorder="1" applyAlignment="1">
      <alignment horizontal="center" vertical="center"/>
    </xf>
    <xf numFmtId="177" fontId="4" fillId="0" borderId="3" xfId="1" applyNumberFormat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 vertical="center"/>
    </xf>
    <xf numFmtId="0" fontId="2" fillId="10" borderId="3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2" fillId="12" borderId="7" xfId="0" applyFont="1" applyFill="1" applyBorder="1" applyAlignment="1">
      <alignment horizontal="center" vertical="center"/>
    </xf>
    <xf numFmtId="0" fontId="2" fillId="12" borderId="11" xfId="0" applyFont="1" applyFill="1" applyBorder="1" applyAlignment="1">
      <alignment horizontal="center" vertical="center"/>
    </xf>
    <xf numFmtId="0" fontId="30" fillId="0" borderId="2" xfId="2" applyFont="1" applyBorder="1" applyAlignment="1">
      <alignment horizontal="center" vertical="center"/>
    </xf>
    <xf numFmtId="0" fontId="30" fillId="0" borderId="4" xfId="2" applyFont="1" applyBorder="1" applyAlignment="1">
      <alignment horizontal="center" vertical="center"/>
    </xf>
    <xf numFmtId="0" fontId="30" fillId="0" borderId="3" xfId="2" applyFont="1" applyBorder="1" applyAlignment="1">
      <alignment horizontal="center" vertical="center"/>
    </xf>
    <xf numFmtId="0" fontId="30" fillId="0" borderId="1" xfId="2" applyFont="1" applyBorder="1" applyAlignment="1">
      <alignment horizontal="center" vertical="center"/>
    </xf>
    <xf numFmtId="0" fontId="30" fillId="22" borderId="2" xfId="2" applyFont="1" applyFill="1" applyBorder="1" applyAlignment="1">
      <alignment horizontal="center" vertical="center"/>
    </xf>
    <xf numFmtId="0" fontId="30" fillId="22" borderId="4" xfId="2" applyFont="1" applyFill="1" applyBorder="1" applyAlignment="1">
      <alignment horizontal="center" vertical="center"/>
    </xf>
    <xf numFmtId="0" fontId="30" fillId="22" borderId="3" xfId="2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6" fillId="0" borderId="2" xfId="2" applyFont="1" applyBorder="1" applyAlignment="1">
      <alignment horizontal="center" vertical="center"/>
    </xf>
    <xf numFmtId="0" fontId="6" fillId="0" borderId="4" xfId="2" applyFont="1" applyBorder="1" applyAlignment="1">
      <alignment horizontal="center" vertical="center"/>
    </xf>
    <xf numFmtId="0" fontId="6" fillId="0" borderId="3" xfId="2" applyFont="1" applyBorder="1" applyAlignment="1">
      <alignment horizontal="center" vertical="center"/>
    </xf>
    <xf numFmtId="179" fontId="23" fillId="0" borderId="2" xfId="3" applyNumberFormat="1" applyFont="1" applyBorder="1" applyAlignment="1">
      <alignment horizontal="center" vertical="center"/>
    </xf>
    <xf numFmtId="179" fontId="23" fillId="0" borderId="4" xfId="3" applyNumberFormat="1" applyFont="1" applyBorder="1" applyAlignment="1">
      <alignment horizontal="center" vertical="center"/>
    </xf>
    <xf numFmtId="179" fontId="23" fillId="0" borderId="3" xfId="3" applyNumberFormat="1" applyFont="1" applyBorder="1" applyAlignment="1">
      <alignment horizontal="center" vertical="center"/>
    </xf>
    <xf numFmtId="179" fontId="27" fillId="0" borderId="2" xfId="3" applyNumberFormat="1" applyFont="1" applyBorder="1" applyAlignment="1">
      <alignment horizontal="center" vertical="center"/>
    </xf>
    <xf numFmtId="179" fontId="27" fillId="0" borderId="4" xfId="3" applyNumberFormat="1" applyFont="1" applyBorder="1" applyAlignment="1">
      <alignment horizontal="center" vertical="center"/>
    </xf>
    <xf numFmtId="179" fontId="27" fillId="0" borderId="3" xfId="3" applyNumberFormat="1" applyFont="1" applyBorder="1" applyAlignment="1">
      <alignment horizontal="center" vertical="center"/>
    </xf>
    <xf numFmtId="0" fontId="2" fillId="33" borderId="2" xfId="0" applyFont="1" applyFill="1" applyBorder="1" applyAlignment="1">
      <alignment horizontal="center" vertical="center"/>
    </xf>
    <xf numFmtId="0" fontId="2" fillId="33" borderId="4" xfId="0" applyFont="1" applyFill="1" applyBorder="1" applyAlignment="1">
      <alignment horizontal="center" vertical="center"/>
    </xf>
    <xf numFmtId="0" fontId="2" fillId="33" borderId="3" xfId="0" applyFont="1" applyFill="1" applyBorder="1" applyAlignment="1">
      <alignment horizontal="center" vertical="center"/>
    </xf>
    <xf numFmtId="181" fontId="30" fillId="34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41" fillId="34" borderId="2" xfId="0" applyFont="1" applyFill="1" applyBorder="1" applyAlignment="1">
      <alignment horizontal="center" vertical="center"/>
    </xf>
    <xf numFmtId="0" fontId="41" fillId="34" borderId="3" xfId="0" applyFont="1" applyFill="1" applyBorder="1" applyAlignment="1">
      <alignment horizontal="center" vertical="center"/>
    </xf>
    <xf numFmtId="177" fontId="2" fillId="0" borderId="2" xfId="0" applyNumberFormat="1" applyFont="1" applyBorder="1" applyAlignment="1">
      <alignment horizontal="center" vertical="center"/>
    </xf>
    <xf numFmtId="177" fontId="2" fillId="0" borderId="3" xfId="0" applyNumberFormat="1" applyFont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0" fontId="2" fillId="12" borderId="3" xfId="0" applyFont="1" applyFill="1" applyBorder="1" applyAlignment="1">
      <alignment horizontal="center" vertical="center"/>
    </xf>
    <xf numFmtId="14" fontId="2" fillId="11" borderId="2" xfId="0" applyNumberFormat="1" applyFont="1" applyFill="1" applyBorder="1" applyAlignment="1">
      <alignment horizontal="center" vertical="center"/>
    </xf>
    <xf numFmtId="14" fontId="2" fillId="11" borderId="3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</cellXfs>
  <cellStyles count="5">
    <cellStyle name="一般" xfId="0" builtinId="0"/>
    <cellStyle name="一般 2" xfId="1" xr:uid="{00000000-0005-0000-0000-000001000000}"/>
    <cellStyle name="一般 2 2" xfId="3" xr:uid="{92B7B34C-C804-479F-AE1D-12B1741EB8C5}"/>
    <cellStyle name="一般 2 3 2" xfId="2" xr:uid="{00000000-0005-0000-0000-000002000000}"/>
    <cellStyle name="一般 4" xfId="4" xr:uid="{F522EC9D-0AF2-4CAE-B8C9-1E4C98B1C460}"/>
  </cellStyles>
  <dxfs count="17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2C61A-52DC-1C4C-90EF-BA54E315EFAC}">
  <sheetPr>
    <tabColor theme="9"/>
  </sheetPr>
  <dimension ref="A1:AR98"/>
  <sheetViews>
    <sheetView view="pageBreakPreview" zoomScale="64" zoomScaleNormal="100" zoomScaleSheetLayoutView="80" workbookViewId="0">
      <pane xSplit="7" ySplit="1" topLeftCell="M11" activePane="bottomRight" state="frozen"/>
      <selection pane="topRight" activeCell="I1" sqref="I1"/>
      <selection pane="bottomLeft" activeCell="A2" sqref="A2"/>
      <selection pane="bottomRight" activeCell="E21" sqref="E21"/>
    </sheetView>
  </sheetViews>
  <sheetFormatPr defaultColWidth="11" defaultRowHeight="17"/>
  <cols>
    <col min="2" max="2" width="22.36328125" style="2" customWidth="1"/>
    <col min="3" max="3" width="39" style="1" customWidth="1"/>
    <col min="4" max="4" width="12.81640625" style="1" customWidth="1"/>
    <col min="5" max="6" width="16.08984375" style="81" customWidth="1"/>
    <col min="7" max="7" width="18.453125" style="1" customWidth="1"/>
    <col min="8" max="9" width="14.08984375" style="1" customWidth="1"/>
    <col min="10" max="10" width="39.453125" style="1" bestFit="1" customWidth="1"/>
  </cols>
  <sheetData>
    <row r="1" spans="1:44" ht="18.5">
      <c r="B1" s="20" t="s">
        <v>1</v>
      </c>
      <c r="C1" s="20" t="s">
        <v>2</v>
      </c>
      <c r="D1" s="20" t="s">
        <v>3</v>
      </c>
      <c r="E1" s="77" t="s">
        <v>9</v>
      </c>
      <c r="F1" s="79" t="s">
        <v>322</v>
      </c>
      <c r="G1" s="20" t="s">
        <v>4</v>
      </c>
      <c r="H1" s="20" t="s">
        <v>5</v>
      </c>
      <c r="I1" s="20" t="s">
        <v>6</v>
      </c>
      <c r="J1" s="20" t="s">
        <v>7</v>
      </c>
      <c r="K1" s="35" t="s">
        <v>305</v>
      </c>
      <c r="L1" s="35" t="s">
        <v>306</v>
      </c>
      <c r="M1" s="35" t="s">
        <v>307</v>
      </c>
      <c r="N1" s="35" t="s">
        <v>308</v>
      </c>
      <c r="O1" s="35" t="s">
        <v>309</v>
      </c>
      <c r="P1" s="35" t="s">
        <v>310</v>
      </c>
      <c r="Q1" s="35" t="s">
        <v>311</v>
      </c>
      <c r="R1" s="35" t="s">
        <v>312</v>
      </c>
      <c r="S1" s="35" t="s">
        <v>313</v>
      </c>
      <c r="T1" s="35" t="s">
        <v>314</v>
      </c>
      <c r="U1" s="35" t="s">
        <v>315</v>
      </c>
      <c r="V1" s="35" t="s">
        <v>316</v>
      </c>
    </row>
    <row r="2" spans="1:44" ht="18.5">
      <c r="A2" s="385" t="s">
        <v>10</v>
      </c>
      <c r="B2" s="378" t="s">
        <v>336</v>
      </c>
      <c r="C2" s="371" t="s">
        <v>63</v>
      </c>
      <c r="D2" s="371" t="s">
        <v>64</v>
      </c>
      <c r="E2" s="52">
        <v>45763</v>
      </c>
      <c r="F2" s="32">
        <f t="shared" ref="F2:F64" si="0">E2+61</f>
        <v>45824</v>
      </c>
      <c r="G2" s="3" t="s">
        <v>65</v>
      </c>
      <c r="H2" s="8">
        <v>43952</v>
      </c>
      <c r="I2" s="8">
        <v>45777</v>
      </c>
      <c r="J2" s="371"/>
      <c r="K2" s="37"/>
      <c r="L2" s="38"/>
      <c r="M2" s="38"/>
      <c r="N2" s="38" t="s">
        <v>334</v>
      </c>
      <c r="O2" s="36"/>
      <c r="P2" s="36"/>
      <c r="Q2" s="36"/>
      <c r="R2" s="91"/>
      <c r="S2" s="91" t="s">
        <v>334</v>
      </c>
      <c r="T2" s="91"/>
      <c r="U2" s="39"/>
      <c r="V2" s="37"/>
    </row>
    <row r="3" spans="1:44" ht="18.5">
      <c r="A3" s="386" t="s">
        <v>10</v>
      </c>
      <c r="B3" s="379"/>
      <c r="C3" s="373" t="s">
        <v>63</v>
      </c>
      <c r="D3" s="373" t="s">
        <v>64</v>
      </c>
      <c r="E3" s="52">
        <v>45763</v>
      </c>
      <c r="F3" s="32">
        <f t="shared" si="0"/>
        <v>45824</v>
      </c>
      <c r="G3" s="60" t="s">
        <v>353</v>
      </c>
      <c r="H3" s="9">
        <v>42795</v>
      </c>
      <c r="I3" s="9">
        <v>44620</v>
      </c>
      <c r="J3" s="373"/>
      <c r="K3" s="37"/>
      <c r="L3" s="38"/>
      <c r="M3" s="38"/>
      <c r="N3" s="38" t="s">
        <v>334</v>
      </c>
      <c r="O3" s="36"/>
      <c r="P3" s="36"/>
      <c r="Q3" s="36"/>
      <c r="R3" s="91"/>
      <c r="S3" s="91" t="s">
        <v>334</v>
      </c>
      <c r="T3" s="91"/>
      <c r="U3" s="39"/>
      <c r="V3" s="37"/>
    </row>
    <row r="4" spans="1:44" ht="18.5">
      <c r="A4" s="385" t="s">
        <v>10</v>
      </c>
      <c r="B4" s="378" t="s">
        <v>585</v>
      </c>
      <c r="C4" s="371" t="s">
        <v>63</v>
      </c>
      <c r="D4" s="371" t="s">
        <v>64</v>
      </c>
      <c r="E4" s="52">
        <v>45763</v>
      </c>
      <c r="F4" s="32">
        <f t="shared" si="0"/>
        <v>45824</v>
      </c>
      <c r="G4" s="3" t="s">
        <v>65</v>
      </c>
      <c r="H4" s="8">
        <v>43952</v>
      </c>
      <c r="I4" s="8">
        <v>45777</v>
      </c>
      <c r="J4" s="371" t="s">
        <v>323</v>
      </c>
      <c r="K4" s="37"/>
      <c r="L4" s="38"/>
      <c r="M4" s="38"/>
      <c r="N4" s="38" t="s">
        <v>334</v>
      </c>
      <c r="O4" s="36"/>
      <c r="P4" s="36"/>
      <c r="Q4" s="36"/>
      <c r="R4" s="91"/>
      <c r="S4" s="91" t="s">
        <v>334</v>
      </c>
      <c r="T4" s="91"/>
      <c r="U4" s="39"/>
      <c r="V4" s="37"/>
    </row>
    <row r="5" spans="1:44" ht="18.5">
      <c r="A5" s="386" t="s">
        <v>10</v>
      </c>
      <c r="B5" s="379"/>
      <c r="C5" s="373" t="s">
        <v>63</v>
      </c>
      <c r="D5" s="373" t="s">
        <v>64</v>
      </c>
      <c r="E5" s="52">
        <v>45763</v>
      </c>
      <c r="F5" s="32">
        <f t="shared" si="0"/>
        <v>45824</v>
      </c>
      <c r="G5" s="60" t="s">
        <v>353</v>
      </c>
      <c r="H5" s="9">
        <v>42795</v>
      </c>
      <c r="I5" s="9">
        <v>44620</v>
      </c>
      <c r="J5" s="373"/>
      <c r="K5" s="37"/>
      <c r="L5" s="38"/>
      <c r="M5" s="38"/>
      <c r="N5" s="38" t="s">
        <v>334</v>
      </c>
      <c r="O5" s="36"/>
      <c r="P5" s="36"/>
      <c r="Q5" s="36"/>
      <c r="R5" s="91"/>
      <c r="S5" s="91" t="s">
        <v>334</v>
      </c>
      <c r="T5" s="91"/>
      <c r="U5" s="39"/>
      <c r="V5" s="37"/>
    </row>
    <row r="6" spans="1:44" ht="18.5">
      <c r="A6" s="385" t="s">
        <v>10</v>
      </c>
      <c r="B6" s="380" t="s">
        <v>66</v>
      </c>
      <c r="C6" s="371" t="s">
        <v>63</v>
      </c>
      <c r="D6" s="371" t="s">
        <v>64</v>
      </c>
      <c r="E6" s="52">
        <v>45763</v>
      </c>
      <c r="F6" s="32">
        <f t="shared" si="0"/>
        <v>45824</v>
      </c>
      <c r="G6" s="3" t="s">
        <v>65</v>
      </c>
      <c r="H6" s="8">
        <v>43952</v>
      </c>
      <c r="I6" s="8">
        <v>45777</v>
      </c>
      <c r="J6" s="371"/>
      <c r="K6" s="37"/>
      <c r="L6" s="38"/>
      <c r="M6" s="38"/>
      <c r="N6" s="38" t="s">
        <v>334</v>
      </c>
      <c r="O6" s="36"/>
      <c r="P6" s="36"/>
      <c r="Q6" s="36"/>
      <c r="R6" s="91"/>
      <c r="S6" s="91" t="s">
        <v>334</v>
      </c>
      <c r="T6" s="91"/>
      <c r="U6" s="39"/>
      <c r="V6" s="37"/>
    </row>
    <row r="7" spans="1:44" ht="18.5">
      <c r="A7" s="386" t="s">
        <v>10</v>
      </c>
      <c r="B7" s="381"/>
      <c r="C7" s="373" t="s">
        <v>63</v>
      </c>
      <c r="D7" s="373" t="s">
        <v>64</v>
      </c>
      <c r="E7" s="52">
        <v>45763</v>
      </c>
      <c r="F7" s="32">
        <f t="shared" si="0"/>
        <v>45824</v>
      </c>
      <c r="G7" s="60" t="s">
        <v>353</v>
      </c>
      <c r="H7" s="9">
        <v>42795</v>
      </c>
      <c r="I7" s="9">
        <v>44620</v>
      </c>
      <c r="J7" s="373"/>
      <c r="K7" s="37"/>
      <c r="L7" s="38"/>
      <c r="M7" s="38"/>
      <c r="N7" s="38" t="s">
        <v>334</v>
      </c>
      <c r="O7" s="36"/>
      <c r="P7" s="36"/>
      <c r="Q7" s="36"/>
      <c r="R7" s="91"/>
      <c r="S7" s="91" t="s">
        <v>334</v>
      </c>
      <c r="T7" s="91"/>
      <c r="U7" s="39"/>
      <c r="V7" s="37"/>
    </row>
    <row r="8" spans="1:44" ht="18.5">
      <c r="A8" s="18" t="s">
        <v>10</v>
      </c>
      <c r="B8" s="362" t="s">
        <v>67</v>
      </c>
      <c r="C8" s="3" t="s">
        <v>63</v>
      </c>
      <c r="D8" s="3" t="s">
        <v>64</v>
      </c>
      <c r="E8" s="52">
        <v>45763</v>
      </c>
      <c r="F8" s="32">
        <f t="shared" si="0"/>
        <v>45824</v>
      </c>
      <c r="G8" s="60" t="s">
        <v>353</v>
      </c>
      <c r="H8" s="9">
        <v>42795</v>
      </c>
      <c r="I8" s="9">
        <v>44620</v>
      </c>
      <c r="J8" s="3"/>
      <c r="K8" s="37"/>
      <c r="L8" s="38"/>
      <c r="M8" s="38"/>
      <c r="N8" s="38" t="s">
        <v>334</v>
      </c>
      <c r="O8" s="36"/>
      <c r="P8" s="36"/>
      <c r="Q8" s="36"/>
      <c r="R8" s="91"/>
      <c r="S8" s="91" t="s">
        <v>334</v>
      </c>
      <c r="T8" s="91"/>
      <c r="U8" s="39"/>
      <c r="V8" s="37"/>
    </row>
    <row r="9" spans="1:44" ht="18.5">
      <c r="A9" s="18" t="s">
        <v>10</v>
      </c>
      <c r="B9" s="363" t="s">
        <v>586</v>
      </c>
      <c r="C9" s="3" t="s">
        <v>63</v>
      </c>
      <c r="D9" s="3" t="s">
        <v>64</v>
      </c>
      <c r="E9" s="52">
        <v>45763</v>
      </c>
      <c r="F9" s="32">
        <f t="shared" si="0"/>
        <v>45824</v>
      </c>
      <c r="G9" s="60" t="s">
        <v>353</v>
      </c>
      <c r="H9" s="9">
        <v>42795</v>
      </c>
      <c r="I9" s="9">
        <v>44620</v>
      </c>
      <c r="J9" s="3"/>
      <c r="K9" s="37"/>
      <c r="L9" s="38"/>
      <c r="M9" s="38"/>
      <c r="N9" s="38" t="s">
        <v>334</v>
      </c>
      <c r="O9" s="36"/>
      <c r="P9" s="36"/>
      <c r="Q9" s="36"/>
      <c r="R9" s="91"/>
      <c r="S9" s="91" t="s">
        <v>334</v>
      </c>
      <c r="T9" s="91"/>
      <c r="U9" s="39"/>
      <c r="V9" s="37"/>
    </row>
    <row r="10" spans="1:44" ht="18.5">
      <c r="A10" s="18" t="s">
        <v>10</v>
      </c>
      <c r="B10" s="362" t="s">
        <v>68</v>
      </c>
      <c r="C10" s="3" t="s">
        <v>63</v>
      </c>
      <c r="D10" s="3" t="s">
        <v>64</v>
      </c>
      <c r="E10" s="52">
        <v>45763</v>
      </c>
      <c r="F10" s="32">
        <f t="shared" si="0"/>
        <v>45824</v>
      </c>
      <c r="G10" s="60" t="s">
        <v>353</v>
      </c>
      <c r="H10" s="9">
        <v>42795</v>
      </c>
      <c r="I10" s="9">
        <v>44620</v>
      </c>
      <c r="J10" s="3"/>
      <c r="K10" s="37"/>
      <c r="L10" s="38"/>
      <c r="M10" s="38"/>
      <c r="N10" s="38" t="s">
        <v>334</v>
      </c>
      <c r="O10" s="36"/>
      <c r="P10" s="36"/>
      <c r="Q10" s="36"/>
      <c r="R10" s="91"/>
      <c r="S10" s="91" t="s">
        <v>334</v>
      </c>
      <c r="T10" s="91"/>
      <c r="U10" s="39"/>
      <c r="V10" s="37"/>
    </row>
    <row r="11" spans="1:44" ht="18.5">
      <c r="A11" s="18" t="s">
        <v>10</v>
      </c>
      <c r="B11" s="363" t="s">
        <v>69</v>
      </c>
      <c r="C11" s="3" t="s">
        <v>63</v>
      </c>
      <c r="D11" s="3" t="s">
        <v>64</v>
      </c>
      <c r="E11" s="52">
        <v>45763</v>
      </c>
      <c r="F11" s="32">
        <f t="shared" si="0"/>
        <v>45824</v>
      </c>
      <c r="G11" s="60" t="s">
        <v>353</v>
      </c>
      <c r="H11" s="9">
        <v>42795</v>
      </c>
      <c r="I11" s="9">
        <v>44620</v>
      </c>
      <c r="J11" s="3"/>
      <c r="K11" s="37"/>
      <c r="L11" s="38"/>
      <c r="M11" s="38"/>
      <c r="N11" s="38" t="s">
        <v>334</v>
      </c>
      <c r="O11" s="36"/>
      <c r="P11" s="36"/>
      <c r="Q11" s="36"/>
      <c r="R11" s="91"/>
      <c r="S11" s="91" t="s">
        <v>334</v>
      </c>
      <c r="T11" s="91"/>
      <c r="U11" s="39"/>
      <c r="V11" s="37"/>
    </row>
    <row r="12" spans="1:44" ht="18.5">
      <c r="A12" s="18" t="s">
        <v>10</v>
      </c>
      <c r="B12" s="363" t="s">
        <v>70</v>
      </c>
      <c r="C12" s="3" t="s">
        <v>63</v>
      </c>
      <c r="D12" s="3" t="s">
        <v>64</v>
      </c>
      <c r="E12" s="52">
        <v>45763</v>
      </c>
      <c r="F12" s="32">
        <f t="shared" si="0"/>
        <v>45824</v>
      </c>
      <c r="G12" s="60" t="s">
        <v>353</v>
      </c>
      <c r="H12" s="9">
        <v>42795</v>
      </c>
      <c r="I12" s="9">
        <v>44620</v>
      </c>
      <c r="J12" s="3"/>
      <c r="K12" s="37"/>
      <c r="L12" s="38"/>
      <c r="M12" s="38"/>
      <c r="N12" s="38" t="s">
        <v>334</v>
      </c>
      <c r="O12" s="36"/>
      <c r="P12" s="36"/>
      <c r="Q12" s="36"/>
      <c r="R12" s="91"/>
      <c r="S12" s="91" t="s">
        <v>334</v>
      </c>
      <c r="T12" s="91"/>
      <c r="U12" s="39"/>
      <c r="V12" s="37"/>
      <c r="AR12">
        <v>123</v>
      </c>
    </row>
    <row r="13" spans="1:44" ht="18.5">
      <c r="A13" s="18" t="s">
        <v>10</v>
      </c>
      <c r="B13" s="363" t="s">
        <v>71</v>
      </c>
      <c r="C13" s="3" t="s">
        <v>63</v>
      </c>
      <c r="D13" s="3" t="s">
        <v>64</v>
      </c>
      <c r="E13" s="52">
        <v>45763</v>
      </c>
      <c r="F13" s="32">
        <f t="shared" si="0"/>
        <v>45824</v>
      </c>
      <c r="G13" s="60" t="s">
        <v>353</v>
      </c>
      <c r="H13" s="9">
        <v>42795</v>
      </c>
      <c r="I13" s="9">
        <v>44620</v>
      </c>
      <c r="J13" s="3"/>
      <c r="K13" s="37"/>
      <c r="L13" s="38"/>
      <c r="M13" s="38"/>
      <c r="N13" s="38" t="s">
        <v>334</v>
      </c>
      <c r="O13" s="36"/>
      <c r="P13" s="36"/>
      <c r="Q13" s="36"/>
      <c r="R13" s="91"/>
      <c r="S13" s="91" t="s">
        <v>334</v>
      </c>
      <c r="T13" s="91"/>
      <c r="U13" s="39"/>
      <c r="V13" s="37"/>
    </row>
    <row r="14" spans="1:44" ht="18.5">
      <c r="A14" s="18" t="s">
        <v>10</v>
      </c>
      <c r="B14" s="363" t="s">
        <v>72</v>
      </c>
      <c r="C14" s="3" t="s">
        <v>63</v>
      </c>
      <c r="D14" s="3" t="s">
        <v>64</v>
      </c>
      <c r="E14" s="52">
        <v>45763</v>
      </c>
      <c r="F14" s="32">
        <f t="shared" si="0"/>
        <v>45824</v>
      </c>
      <c r="G14" s="60" t="s">
        <v>353</v>
      </c>
      <c r="H14" s="9">
        <v>42795</v>
      </c>
      <c r="I14" s="9">
        <v>44620</v>
      </c>
      <c r="J14" s="3"/>
      <c r="K14" s="37"/>
      <c r="L14" s="38"/>
      <c r="M14" s="38"/>
      <c r="N14" s="38" t="s">
        <v>334</v>
      </c>
      <c r="O14" s="36"/>
      <c r="P14" s="36"/>
      <c r="Q14" s="36"/>
      <c r="R14" s="91"/>
      <c r="S14" s="91" t="s">
        <v>334</v>
      </c>
      <c r="T14" s="91"/>
      <c r="U14" s="39"/>
      <c r="V14" s="37"/>
    </row>
    <row r="15" spans="1:44" ht="18.5">
      <c r="A15" s="18" t="s">
        <v>10</v>
      </c>
      <c r="B15" s="363" t="s">
        <v>73</v>
      </c>
      <c r="C15" s="3" t="s">
        <v>63</v>
      </c>
      <c r="D15" s="3" t="s">
        <v>64</v>
      </c>
      <c r="E15" s="52">
        <v>45763</v>
      </c>
      <c r="F15" s="32">
        <f t="shared" si="0"/>
        <v>45824</v>
      </c>
      <c r="G15" s="60" t="s">
        <v>353</v>
      </c>
      <c r="H15" s="9">
        <v>42795</v>
      </c>
      <c r="I15" s="9">
        <v>44620</v>
      </c>
      <c r="J15" s="3"/>
      <c r="K15" s="37"/>
      <c r="L15" s="38"/>
      <c r="M15" s="38"/>
      <c r="N15" s="38" t="s">
        <v>334</v>
      </c>
      <c r="O15" s="36"/>
      <c r="P15" s="36"/>
      <c r="Q15" s="36"/>
      <c r="R15" s="91"/>
      <c r="S15" s="91" t="s">
        <v>334</v>
      </c>
      <c r="T15" s="91"/>
      <c r="U15" s="39"/>
      <c r="V15" s="37"/>
    </row>
    <row r="16" spans="1:44" ht="18.5">
      <c r="A16" s="385" t="s">
        <v>162</v>
      </c>
      <c r="B16" s="380" t="s">
        <v>74</v>
      </c>
      <c r="C16" s="371" t="s">
        <v>63</v>
      </c>
      <c r="D16" s="371" t="s">
        <v>64</v>
      </c>
      <c r="E16" s="52">
        <v>45763</v>
      </c>
      <c r="F16" s="32">
        <f t="shared" si="0"/>
        <v>45824</v>
      </c>
      <c r="G16" s="3" t="s">
        <v>222</v>
      </c>
      <c r="H16" s="10">
        <v>44136</v>
      </c>
      <c r="I16" s="10">
        <v>45961</v>
      </c>
      <c r="J16" s="371"/>
      <c r="K16" s="37"/>
      <c r="L16" s="38"/>
      <c r="M16" s="38"/>
      <c r="N16" s="38" t="s">
        <v>334</v>
      </c>
      <c r="O16" s="36"/>
      <c r="P16" s="36"/>
      <c r="Q16" s="36"/>
      <c r="R16" s="91"/>
      <c r="S16" s="91" t="s">
        <v>334</v>
      </c>
      <c r="T16" s="91"/>
      <c r="U16" s="39"/>
      <c r="V16" s="37"/>
    </row>
    <row r="17" spans="1:22" ht="18.5">
      <c r="A17" s="386" t="s">
        <v>162</v>
      </c>
      <c r="B17" s="381"/>
      <c r="C17" s="373" t="s">
        <v>63</v>
      </c>
      <c r="D17" s="373" t="s">
        <v>64</v>
      </c>
      <c r="E17" s="52">
        <v>45763</v>
      </c>
      <c r="F17" s="32">
        <f t="shared" si="0"/>
        <v>45824</v>
      </c>
      <c r="G17" s="60" t="s">
        <v>353</v>
      </c>
      <c r="H17" s="9">
        <v>42795</v>
      </c>
      <c r="I17" s="9">
        <v>44620</v>
      </c>
      <c r="J17" s="373"/>
      <c r="K17" s="37"/>
      <c r="L17" s="38"/>
      <c r="M17" s="38"/>
      <c r="N17" s="38" t="s">
        <v>334</v>
      </c>
      <c r="O17" s="36"/>
      <c r="P17" s="36"/>
      <c r="Q17" s="36"/>
      <c r="R17" s="91"/>
      <c r="S17" s="91" t="s">
        <v>334</v>
      </c>
      <c r="T17" s="91"/>
      <c r="U17" s="39"/>
      <c r="V17" s="37"/>
    </row>
    <row r="18" spans="1:22" ht="18.5">
      <c r="A18" s="18" t="s">
        <v>10</v>
      </c>
      <c r="B18" s="53" t="s">
        <v>337</v>
      </c>
      <c r="C18" s="3" t="s">
        <v>63</v>
      </c>
      <c r="D18" s="3" t="s">
        <v>64</v>
      </c>
      <c r="E18" s="52">
        <v>45713</v>
      </c>
      <c r="F18" s="32">
        <f t="shared" si="0"/>
        <v>45774</v>
      </c>
      <c r="G18" s="27" t="s">
        <v>484</v>
      </c>
      <c r="H18" s="9">
        <v>43009</v>
      </c>
      <c r="I18" s="9">
        <v>44834</v>
      </c>
      <c r="J18" s="3"/>
      <c r="K18" s="38"/>
      <c r="L18" s="38" t="s">
        <v>334</v>
      </c>
      <c r="M18" s="38"/>
      <c r="N18" s="36"/>
      <c r="O18" s="36"/>
      <c r="P18" s="36"/>
      <c r="Q18" s="91"/>
      <c r="R18" s="91"/>
      <c r="S18" s="91" t="s">
        <v>334</v>
      </c>
      <c r="T18" s="39"/>
      <c r="U18" s="37"/>
      <c r="V18" s="39"/>
    </row>
    <row r="19" spans="1:22" ht="18.5">
      <c r="A19" s="18" t="s">
        <v>10</v>
      </c>
      <c r="B19" s="53" t="s">
        <v>338</v>
      </c>
      <c r="C19" s="3" t="s">
        <v>63</v>
      </c>
      <c r="D19" s="3" t="s">
        <v>64</v>
      </c>
      <c r="E19" s="52">
        <v>45713</v>
      </c>
      <c r="F19" s="32">
        <f t="shared" si="0"/>
        <v>45774</v>
      </c>
      <c r="G19" s="27" t="s">
        <v>484</v>
      </c>
      <c r="H19" s="9">
        <v>43009</v>
      </c>
      <c r="I19" s="9">
        <v>44834</v>
      </c>
      <c r="J19" s="3"/>
      <c r="K19" s="38"/>
      <c r="L19" s="38" t="s">
        <v>334</v>
      </c>
      <c r="M19" s="38"/>
      <c r="N19" s="36"/>
      <c r="O19" s="36"/>
      <c r="P19" s="36"/>
      <c r="Q19" s="91"/>
      <c r="R19" s="91"/>
      <c r="S19" s="91" t="s">
        <v>334</v>
      </c>
      <c r="T19" s="39"/>
      <c r="U19" s="37"/>
      <c r="V19" s="39"/>
    </row>
    <row r="20" spans="1:22" ht="31">
      <c r="A20" s="18" t="s">
        <v>10</v>
      </c>
      <c r="B20" s="55" t="s">
        <v>339</v>
      </c>
      <c r="C20" s="3" t="s">
        <v>63</v>
      </c>
      <c r="D20" s="3" t="s">
        <v>64</v>
      </c>
      <c r="E20" s="52">
        <v>45740</v>
      </c>
      <c r="F20" s="32">
        <f t="shared" si="0"/>
        <v>45801</v>
      </c>
      <c r="G20" s="27" t="s">
        <v>484</v>
      </c>
      <c r="H20" s="9">
        <v>43009</v>
      </c>
      <c r="I20" s="9">
        <v>44834</v>
      </c>
      <c r="J20" s="3" t="s">
        <v>324</v>
      </c>
      <c r="K20" s="38"/>
      <c r="L20" s="38" t="s">
        <v>334</v>
      </c>
      <c r="M20" s="38"/>
      <c r="N20" s="36"/>
      <c r="O20" s="36"/>
      <c r="P20" s="36"/>
      <c r="Q20" s="91"/>
      <c r="R20" s="91"/>
      <c r="S20" s="91" t="s">
        <v>334</v>
      </c>
      <c r="T20" s="39"/>
      <c r="U20" s="37"/>
      <c r="V20" s="39"/>
    </row>
    <row r="21" spans="1:22" ht="18.5">
      <c r="A21" s="18" t="s">
        <v>10</v>
      </c>
      <c r="B21" s="110" t="s">
        <v>340</v>
      </c>
      <c r="C21" s="3" t="s">
        <v>63</v>
      </c>
      <c r="D21" s="3" t="s">
        <v>64</v>
      </c>
      <c r="E21" s="52">
        <v>45763</v>
      </c>
      <c r="F21" s="32">
        <f t="shared" si="0"/>
        <v>45824</v>
      </c>
      <c r="G21" s="3" t="s">
        <v>516</v>
      </c>
      <c r="H21" s="9">
        <v>43405</v>
      </c>
      <c r="I21" s="9">
        <v>45230</v>
      </c>
      <c r="J21" s="3"/>
      <c r="K21" s="39"/>
      <c r="L21" s="38" t="s">
        <v>334</v>
      </c>
      <c r="M21" s="38"/>
      <c r="N21" s="38" t="s">
        <v>334</v>
      </c>
      <c r="O21" s="36"/>
      <c r="P21" s="36"/>
      <c r="Q21" s="36"/>
      <c r="R21" s="91"/>
      <c r="S21" s="91" t="s">
        <v>334</v>
      </c>
      <c r="T21" s="91"/>
      <c r="U21" s="37"/>
      <c r="V21" s="39"/>
    </row>
    <row r="22" spans="1:22" ht="18.5">
      <c r="A22" s="18" t="s">
        <v>10</v>
      </c>
      <c r="B22" s="110" t="s">
        <v>341</v>
      </c>
      <c r="C22" s="3" t="s">
        <v>63</v>
      </c>
      <c r="D22" s="3" t="s">
        <v>64</v>
      </c>
      <c r="E22" s="52">
        <v>45763</v>
      </c>
      <c r="F22" s="32">
        <f t="shared" si="0"/>
        <v>45824</v>
      </c>
      <c r="G22" s="3" t="s">
        <v>516</v>
      </c>
      <c r="H22" s="9">
        <v>43405</v>
      </c>
      <c r="I22" s="9">
        <v>45230</v>
      </c>
      <c r="J22" s="3"/>
      <c r="K22" s="39"/>
      <c r="L22" s="38" t="s">
        <v>334</v>
      </c>
      <c r="M22" s="38"/>
      <c r="N22" s="38" t="s">
        <v>334</v>
      </c>
      <c r="O22" s="36"/>
      <c r="P22" s="36"/>
      <c r="Q22" s="36"/>
      <c r="R22" s="91"/>
      <c r="S22" s="91" t="s">
        <v>334</v>
      </c>
      <c r="T22" s="91"/>
      <c r="U22" s="37"/>
      <c r="V22" s="39"/>
    </row>
    <row r="23" spans="1:22" ht="18.5">
      <c r="A23" s="18" t="s">
        <v>10</v>
      </c>
      <c r="B23" s="110" t="s">
        <v>76</v>
      </c>
      <c r="C23" s="3" t="s">
        <v>63</v>
      </c>
      <c r="D23" s="3" t="s">
        <v>64</v>
      </c>
      <c r="E23" s="52">
        <v>45763</v>
      </c>
      <c r="F23" s="32">
        <f t="shared" si="0"/>
        <v>45824</v>
      </c>
      <c r="G23" s="3" t="s">
        <v>516</v>
      </c>
      <c r="H23" s="9">
        <v>43405</v>
      </c>
      <c r="I23" s="9">
        <v>45230</v>
      </c>
      <c r="K23" s="39"/>
      <c r="L23" s="38" t="s">
        <v>334</v>
      </c>
      <c r="M23" s="38"/>
      <c r="N23" s="38" t="s">
        <v>334</v>
      </c>
      <c r="O23" s="36"/>
      <c r="P23" s="36"/>
      <c r="Q23" s="36"/>
      <c r="R23" s="91"/>
      <c r="S23" s="91" t="s">
        <v>334</v>
      </c>
      <c r="T23" s="91"/>
      <c r="U23" s="37"/>
      <c r="V23" s="39"/>
    </row>
    <row r="24" spans="1:22" ht="18.5">
      <c r="A24" s="385" t="s">
        <v>162</v>
      </c>
      <c r="B24" s="382" t="s">
        <v>325</v>
      </c>
      <c r="C24" s="371" t="s">
        <v>63</v>
      </c>
      <c r="D24" s="371" t="s">
        <v>64</v>
      </c>
      <c r="E24" s="80">
        <v>45735</v>
      </c>
      <c r="F24" s="32">
        <f t="shared" si="0"/>
        <v>45796</v>
      </c>
      <c r="G24" s="3" t="s">
        <v>516</v>
      </c>
      <c r="H24" s="9">
        <v>43405</v>
      </c>
      <c r="I24" s="9">
        <v>45230</v>
      </c>
      <c r="J24" s="375" t="s">
        <v>326</v>
      </c>
      <c r="K24" s="39"/>
      <c r="L24" s="38"/>
      <c r="M24" s="38" t="s">
        <v>334</v>
      </c>
      <c r="N24" s="38"/>
      <c r="O24" s="36"/>
      <c r="P24" s="36"/>
      <c r="Q24" s="36"/>
      <c r="R24" s="91"/>
      <c r="S24" s="91" t="s">
        <v>334</v>
      </c>
      <c r="T24" s="91"/>
      <c r="U24" s="39"/>
      <c r="V24" s="37" t="s">
        <v>335</v>
      </c>
    </row>
    <row r="25" spans="1:22" ht="18.5">
      <c r="A25" s="387" t="s">
        <v>162</v>
      </c>
      <c r="B25" s="383"/>
      <c r="C25" s="372" t="s">
        <v>63</v>
      </c>
      <c r="D25" s="372" t="s">
        <v>64</v>
      </c>
      <c r="E25" s="80">
        <v>45735</v>
      </c>
      <c r="F25" s="32">
        <f t="shared" si="0"/>
        <v>45796</v>
      </c>
      <c r="G25" s="3" t="s">
        <v>522</v>
      </c>
      <c r="H25" s="9">
        <v>43525</v>
      </c>
      <c r="I25" s="9">
        <v>45351</v>
      </c>
      <c r="J25" s="376"/>
      <c r="K25" s="39"/>
      <c r="L25" s="39"/>
      <c r="M25" s="38" t="s">
        <v>334</v>
      </c>
      <c r="N25" s="38"/>
      <c r="O25" s="38"/>
      <c r="P25" s="36"/>
      <c r="Q25" s="36"/>
      <c r="R25" s="36"/>
      <c r="S25" s="91" t="s">
        <v>334</v>
      </c>
      <c r="T25" s="91"/>
      <c r="U25" s="91"/>
      <c r="V25" s="37" t="s">
        <v>335</v>
      </c>
    </row>
    <row r="26" spans="1:22" ht="18.5">
      <c r="A26" s="387" t="s">
        <v>162</v>
      </c>
      <c r="B26" s="383"/>
      <c r="C26" s="372" t="s">
        <v>63</v>
      </c>
      <c r="D26" s="372" t="s">
        <v>64</v>
      </c>
      <c r="E26" s="80">
        <v>45735</v>
      </c>
      <c r="F26" s="32">
        <f t="shared" si="0"/>
        <v>45796</v>
      </c>
      <c r="G26" s="3" t="s">
        <v>65</v>
      </c>
      <c r="H26" s="8">
        <v>43952</v>
      </c>
      <c r="I26" s="8">
        <v>45777</v>
      </c>
      <c r="J26" s="376"/>
      <c r="K26" s="37"/>
      <c r="L26" s="38"/>
      <c r="M26" s="38" t="s">
        <v>334</v>
      </c>
      <c r="N26" s="38"/>
      <c r="O26" s="36"/>
      <c r="P26" s="36"/>
      <c r="Q26" s="36"/>
      <c r="R26" s="91"/>
      <c r="S26" s="91" t="s">
        <v>334</v>
      </c>
      <c r="T26" s="91"/>
      <c r="U26" s="39"/>
      <c r="V26" s="37" t="s">
        <v>335</v>
      </c>
    </row>
    <row r="27" spans="1:22" ht="18.5">
      <c r="A27" s="387" t="s">
        <v>162</v>
      </c>
      <c r="B27" s="383"/>
      <c r="C27" s="372" t="s">
        <v>63</v>
      </c>
      <c r="D27" s="372" t="s">
        <v>64</v>
      </c>
      <c r="E27" s="80">
        <v>45735</v>
      </c>
      <c r="F27" s="32">
        <f t="shared" si="0"/>
        <v>45796</v>
      </c>
      <c r="G27" s="3" t="s">
        <v>23</v>
      </c>
      <c r="H27" s="10">
        <v>44136</v>
      </c>
      <c r="I27" s="10">
        <v>45961</v>
      </c>
      <c r="J27" s="376"/>
      <c r="K27" s="37"/>
      <c r="L27" s="38"/>
      <c r="M27" s="38" t="s">
        <v>334</v>
      </c>
      <c r="N27" s="38"/>
      <c r="O27" s="36"/>
      <c r="P27" s="36"/>
      <c r="Q27" s="36"/>
      <c r="R27" s="91"/>
      <c r="S27" s="91" t="s">
        <v>334</v>
      </c>
      <c r="T27" s="91"/>
      <c r="U27" s="39"/>
      <c r="V27" s="37" t="s">
        <v>335</v>
      </c>
    </row>
    <row r="28" spans="1:22" ht="18.5">
      <c r="A28" s="387"/>
      <c r="B28" s="383"/>
      <c r="C28" s="372"/>
      <c r="D28" s="372"/>
      <c r="E28" s="80">
        <v>45735</v>
      </c>
      <c r="F28" s="32">
        <f t="shared" si="0"/>
        <v>45796</v>
      </c>
      <c r="G28" s="3" t="s">
        <v>330</v>
      </c>
      <c r="H28" s="10"/>
      <c r="I28" s="10"/>
      <c r="J28" s="376"/>
      <c r="K28" s="37"/>
      <c r="L28" s="38"/>
      <c r="M28" s="38" t="s">
        <v>334</v>
      </c>
      <c r="N28" s="38"/>
      <c r="O28" s="36"/>
      <c r="P28" s="36"/>
      <c r="Q28" s="36"/>
      <c r="R28" s="91"/>
      <c r="S28" s="91" t="s">
        <v>334</v>
      </c>
      <c r="T28" s="91"/>
      <c r="U28" s="39"/>
      <c r="V28" s="37" t="s">
        <v>335</v>
      </c>
    </row>
    <row r="29" spans="1:22" ht="18.5">
      <c r="A29" s="386" t="s">
        <v>162</v>
      </c>
      <c r="B29" s="384"/>
      <c r="C29" s="373" t="s">
        <v>63</v>
      </c>
      <c r="D29" s="373" t="s">
        <v>64</v>
      </c>
      <c r="E29" s="80">
        <v>45735</v>
      </c>
      <c r="F29" s="32">
        <f t="shared" si="0"/>
        <v>45796</v>
      </c>
      <c r="G29" s="27" t="s">
        <v>484</v>
      </c>
      <c r="H29" s="9">
        <v>43009</v>
      </c>
      <c r="I29" s="9">
        <v>44834</v>
      </c>
      <c r="J29" s="377"/>
      <c r="K29" s="38"/>
      <c r="L29" s="38"/>
      <c r="M29" s="38" t="s">
        <v>334</v>
      </c>
      <c r="N29" s="36"/>
      <c r="O29" s="36"/>
      <c r="P29" s="36"/>
      <c r="Q29" s="91"/>
      <c r="R29" s="91"/>
      <c r="S29" s="91" t="s">
        <v>334</v>
      </c>
      <c r="T29" s="39"/>
      <c r="U29" s="39"/>
      <c r="V29" s="37" t="s">
        <v>335</v>
      </c>
    </row>
    <row r="30" spans="1:22" ht="18.5">
      <c r="A30" s="19" t="s">
        <v>24</v>
      </c>
      <c r="B30" s="53" t="s">
        <v>343</v>
      </c>
      <c r="C30" s="111" t="s">
        <v>63</v>
      </c>
      <c r="D30" s="3" t="s">
        <v>64</v>
      </c>
      <c r="E30" s="52">
        <v>44960</v>
      </c>
      <c r="F30" s="32">
        <f t="shared" si="0"/>
        <v>45021</v>
      </c>
      <c r="G30" s="3" t="s">
        <v>331</v>
      </c>
      <c r="H30" s="9" t="s">
        <v>79</v>
      </c>
      <c r="I30" s="9" t="s">
        <v>80</v>
      </c>
      <c r="J30" s="3"/>
      <c r="K30" s="92"/>
      <c r="L30" s="92"/>
      <c r="M30" s="92"/>
      <c r="N30" s="36"/>
      <c r="O30" s="36"/>
      <c r="P30" s="36"/>
      <c r="Q30" s="91"/>
      <c r="R30" s="91"/>
      <c r="S30" s="91"/>
      <c r="T30" s="39"/>
      <c r="U30" s="39"/>
      <c r="V30" s="39"/>
    </row>
    <row r="31" spans="1:22" ht="18.5">
      <c r="A31" s="19" t="s">
        <v>24</v>
      </c>
      <c r="B31" s="53" t="s">
        <v>344</v>
      </c>
      <c r="C31" s="111" t="s">
        <v>63</v>
      </c>
      <c r="D31" s="3" t="s">
        <v>64</v>
      </c>
      <c r="E31" s="52">
        <v>44960</v>
      </c>
      <c r="F31" s="32">
        <f t="shared" si="0"/>
        <v>45021</v>
      </c>
      <c r="G31" s="3" t="s">
        <v>331</v>
      </c>
      <c r="H31" s="9" t="s">
        <v>79</v>
      </c>
      <c r="I31" s="9" t="s">
        <v>80</v>
      </c>
      <c r="J31" s="3"/>
      <c r="K31" s="92"/>
      <c r="L31" s="92"/>
      <c r="M31" s="92"/>
      <c r="N31" s="36"/>
      <c r="O31" s="36"/>
      <c r="P31" s="36"/>
      <c r="Q31" s="91"/>
      <c r="R31" s="91"/>
      <c r="S31" s="91"/>
      <c r="T31" s="39"/>
      <c r="U31" s="39"/>
      <c r="V31" s="39"/>
    </row>
    <row r="32" spans="1:22" ht="18.5" hidden="1">
      <c r="A32" s="19" t="s">
        <v>24</v>
      </c>
      <c r="B32" s="53" t="s">
        <v>345</v>
      </c>
      <c r="C32" s="3" t="s">
        <v>63</v>
      </c>
      <c r="D32" s="3" t="s">
        <v>64</v>
      </c>
      <c r="E32" s="52">
        <v>44979</v>
      </c>
      <c r="F32" s="32">
        <f t="shared" si="0"/>
        <v>45040</v>
      </c>
      <c r="G32" s="3" t="s">
        <v>331</v>
      </c>
      <c r="H32" s="9" t="s">
        <v>79</v>
      </c>
      <c r="I32" s="9" t="s">
        <v>80</v>
      </c>
      <c r="J32" s="3"/>
      <c r="K32" s="92"/>
      <c r="L32" s="92"/>
      <c r="M32" s="92"/>
      <c r="N32" s="36"/>
      <c r="O32" s="36"/>
      <c r="P32" s="36"/>
      <c r="Q32" s="91"/>
      <c r="R32" s="91"/>
      <c r="S32" s="91"/>
      <c r="T32" s="39"/>
      <c r="U32" s="39"/>
      <c r="V32" s="39"/>
    </row>
    <row r="33" spans="1:22" ht="18.5">
      <c r="A33" s="19" t="s">
        <v>24</v>
      </c>
      <c r="B33" s="53" t="s">
        <v>82</v>
      </c>
      <c r="C33" s="3" t="s">
        <v>63</v>
      </c>
      <c r="D33" s="3" t="s">
        <v>64</v>
      </c>
      <c r="E33" s="52"/>
      <c r="F33" s="32">
        <f t="shared" si="0"/>
        <v>61</v>
      </c>
      <c r="G33" s="3" t="s">
        <v>331</v>
      </c>
      <c r="H33" s="9" t="s">
        <v>79</v>
      </c>
      <c r="I33" s="9" t="s">
        <v>80</v>
      </c>
      <c r="J33" s="3"/>
      <c r="K33" s="92"/>
      <c r="L33" s="92"/>
      <c r="M33" s="92"/>
      <c r="N33" s="36"/>
      <c r="O33" s="36"/>
      <c r="P33" s="36"/>
      <c r="Q33" s="91"/>
      <c r="R33" s="91"/>
      <c r="S33" s="91"/>
      <c r="T33" s="39"/>
      <c r="U33" s="39"/>
      <c r="V33" s="39"/>
    </row>
    <row r="34" spans="1:22" ht="18.5">
      <c r="A34" s="19" t="s">
        <v>24</v>
      </c>
      <c r="B34" s="53" t="s">
        <v>83</v>
      </c>
      <c r="C34" s="111" t="s">
        <v>63</v>
      </c>
      <c r="D34" s="3" t="s">
        <v>64</v>
      </c>
      <c r="E34" s="52">
        <v>44960</v>
      </c>
      <c r="F34" s="32">
        <f t="shared" si="0"/>
        <v>45021</v>
      </c>
      <c r="G34" s="3" t="s">
        <v>331</v>
      </c>
      <c r="H34" s="9" t="s">
        <v>79</v>
      </c>
      <c r="I34" s="9" t="s">
        <v>80</v>
      </c>
      <c r="J34" s="3"/>
      <c r="K34" s="92"/>
      <c r="L34" s="92"/>
      <c r="M34" s="92"/>
      <c r="N34" s="36"/>
      <c r="O34" s="36"/>
      <c r="P34" s="36"/>
      <c r="Q34" s="91"/>
      <c r="R34" s="91"/>
      <c r="S34" s="91"/>
      <c r="T34" s="39"/>
      <c r="U34" s="39"/>
      <c r="V34" s="39"/>
    </row>
    <row r="35" spans="1:22" ht="18.5">
      <c r="A35" s="19" t="s">
        <v>24</v>
      </c>
      <c r="B35" s="53" t="s">
        <v>351</v>
      </c>
      <c r="C35" s="111" t="s">
        <v>63</v>
      </c>
      <c r="D35" s="3" t="s">
        <v>64</v>
      </c>
      <c r="E35" s="52">
        <v>44960</v>
      </c>
      <c r="F35" s="32">
        <f t="shared" si="0"/>
        <v>45021</v>
      </c>
      <c r="G35" s="3" t="s">
        <v>331</v>
      </c>
      <c r="H35" s="9" t="s">
        <v>79</v>
      </c>
      <c r="I35" s="9" t="s">
        <v>80</v>
      </c>
      <c r="J35" s="3"/>
      <c r="K35" s="92"/>
      <c r="L35" s="92"/>
      <c r="M35" s="92"/>
      <c r="N35" s="36"/>
      <c r="O35" s="36"/>
      <c r="P35" s="36"/>
      <c r="Q35" s="91"/>
      <c r="R35" s="91"/>
      <c r="S35" s="91"/>
      <c r="T35" s="39"/>
      <c r="U35" s="39"/>
      <c r="V35" s="39"/>
    </row>
    <row r="36" spans="1:22" ht="18.5" hidden="1">
      <c r="A36" s="19" t="s">
        <v>24</v>
      </c>
      <c r="B36" s="53" t="s">
        <v>350</v>
      </c>
      <c r="C36" s="3" t="s">
        <v>63</v>
      </c>
      <c r="D36" s="3" t="s">
        <v>64</v>
      </c>
      <c r="E36" s="52"/>
      <c r="F36" s="32">
        <f t="shared" si="0"/>
        <v>61</v>
      </c>
      <c r="G36" s="3" t="s">
        <v>331</v>
      </c>
      <c r="H36" s="9" t="s">
        <v>79</v>
      </c>
      <c r="I36" s="9" t="s">
        <v>80</v>
      </c>
      <c r="J36" s="3"/>
      <c r="K36" s="92"/>
      <c r="L36" s="92"/>
      <c r="M36" s="92"/>
      <c r="N36" s="36"/>
      <c r="O36" s="36"/>
      <c r="P36" s="36"/>
      <c r="Q36" s="91"/>
      <c r="R36" s="91"/>
      <c r="S36" s="91"/>
      <c r="T36" s="39"/>
      <c r="U36" s="39"/>
      <c r="V36" s="39"/>
    </row>
    <row r="37" spans="1:22" ht="18.5">
      <c r="A37" s="19" t="s">
        <v>24</v>
      </c>
      <c r="B37" s="110" t="s">
        <v>349</v>
      </c>
      <c r="C37" s="3" t="s">
        <v>63</v>
      </c>
      <c r="D37" s="3" t="s">
        <v>64</v>
      </c>
      <c r="E37" s="52">
        <v>44999</v>
      </c>
      <c r="F37" s="32">
        <f t="shared" si="0"/>
        <v>45060</v>
      </c>
      <c r="G37" s="3" t="s">
        <v>331</v>
      </c>
      <c r="H37" s="9" t="s">
        <v>79</v>
      </c>
      <c r="I37" s="9" t="s">
        <v>80</v>
      </c>
      <c r="J37" s="3"/>
      <c r="K37" s="92"/>
      <c r="L37" s="92"/>
      <c r="M37" s="92"/>
      <c r="N37" s="36"/>
      <c r="O37" s="36"/>
      <c r="P37" s="36"/>
      <c r="Q37" s="91"/>
      <c r="R37" s="91"/>
      <c r="S37" s="91"/>
      <c r="T37" s="39"/>
      <c r="U37" s="39"/>
      <c r="V37" s="39"/>
    </row>
    <row r="38" spans="1:22" ht="18.5">
      <c r="A38" s="19" t="s">
        <v>24</v>
      </c>
      <c r="B38" s="53" t="s">
        <v>85</v>
      </c>
      <c r="C38" s="111" t="s">
        <v>63</v>
      </c>
      <c r="D38" s="3" t="s">
        <v>64</v>
      </c>
      <c r="E38" s="52">
        <v>44960</v>
      </c>
      <c r="F38" s="32">
        <f t="shared" si="0"/>
        <v>45021</v>
      </c>
      <c r="G38" s="3" t="s">
        <v>331</v>
      </c>
      <c r="H38" s="9" t="s">
        <v>79</v>
      </c>
      <c r="I38" s="9" t="s">
        <v>80</v>
      </c>
      <c r="J38" s="3"/>
      <c r="K38" s="92"/>
      <c r="L38" s="92"/>
      <c r="M38" s="92"/>
      <c r="N38" s="36"/>
      <c r="O38" s="36"/>
      <c r="P38" s="36"/>
      <c r="Q38" s="91"/>
      <c r="R38" s="91"/>
      <c r="S38" s="91"/>
      <c r="T38" s="39"/>
      <c r="U38" s="39"/>
      <c r="V38" s="39"/>
    </row>
    <row r="39" spans="1:22" ht="18.5">
      <c r="A39" s="19" t="s">
        <v>24</v>
      </c>
      <c r="B39" s="110" t="s">
        <v>346</v>
      </c>
      <c r="C39" s="111" t="s">
        <v>63</v>
      </c>
      <c r="D39" s="3" t="s">
        <v>64</v>
      </c>
      <c r="E39" s="52">
        <v>44960</v>
      </c>
      <c r="F39" s="32">
        <f t="shared" si="0"/>
        <v>45021</v>
      </c>
      <c r="G39" s="3" t="s">
        <v>331</v>
      </c>
      <c r="H39" s="9" t="s">
        <v>79</v>
      </c>
      <c r="I39" s="9" t="s">
        <v>80</v>
      </c>
      <c r="J39" s="3"/>
      <c r="K39" s="92"/>
      <c r="L39" s="92"/>
      <c r="M39" s="92"/>
      <c r="N39" s="36"/>
      <c r="O39" s="36"/>
      <c r="P39" s="36"/>
      <c r="Q39" s="91"/>
      <c r="R39" s="91"/>
      <c r="S39" s="91"/>
      <c r="T39" s="39"/>
      <c r="U39" s="39"/>
      <c r="V39" s="39"/>
    </row>
    <row r="40" spans="1:22" ht="18.5">
      <c r="A40" s="83" t="s">
        <v>180</v>
      </c>
      <c r="B40" s="110" t="s">
        <v>328</v>
      </c>
      <c r="C40" s="111" t="s">
        <v>63</v>
      </c>
      <c r="D40" s="59" t="s">
        <v>64</v>
      </c>
      <c r="E40" s="52">
        <v>44960</v>
      </c>
      <c r="F40" s="32">
        <f t="shared" si="0"/>
        <v>45021</v>
      </c>
      <c r="G40" s="3" t="s">
        <v>331</v>
      </c>
      <c r="H40" s="9" t="s">
        <v>79</v>
      </c>
      <c r="I40" s="9" t="s">
        <v>80</v>
      </c>
      <c r="J40" s="3"/>
      <c r="K40" s="92"/>
      <c r="L40" s="92"/>
      <c r="M40" s="92"/>
      <c r="N40" s="36"/>
      <c r="O40" s="36"/>
      <c r="P40" s="36"/>
      <c r="Q40" s="91"/>
      <c r="R40" s="91"/>
      <c r="S40" s="91"/>
      <c r="T40" s="39"/>
      <c r="U40" s="39"/>
      <c r="V40" s="39"/>
    </row>
    <row r="41" spans="1:22" ht="18.5" hidden="1">
      <c r="A41" s="19" t="s">
        <v>24</v>
      </c>
      <c r="B41" s="53" t="s">
        <v>348</v>
      </c>
      <c r="C41" s="3" t="s">
        <v>63</v>
      </c>
      <c r="D41" s="3" t="s">
        <v>64</v>
      </c>
      <c r="E41" s="52">
        <v>44977</v>
      </c>
      <c r="F41" s="32">
        <f>E41+61</f>
        <v>45038</v>
      </c>
      <c r="G41" s="3" t="s">
        <v>331</v>
      </c>
      <c r="H41" s="9" t="s">
        <v>79</v>
      </c>
      <c r="I41" s="9" t="s">
        <v>80</v>
      </c>
      <c r="J41" s="3"/>
      <c r="K41" s="92"/>
      <c r="L41" s="92"/>
      <c r="M41" s="92"/>
      <c r="N41" s="36"/>
      <c r="O41" s="36"/>
      <c r="P41" s="36"/>
      <c r="Q41" s="91"/>
      <c r="R41" s="91"/>
      <c r="S41" s="91"/>
      <c r="T41" s="39"/>
      <c r="U41" s="39"/>
      <c r="V41" s="39"/>
    </row>
    <row r="42" spans="1:22" ht="18.5" hidden="1">
      <c r="A42" s="19" t="s">
        <v>24</v>
      </c>
      <c r="B42" s="53" t="s">
        <v>87</v>
      </c>
      <c r="C42" s="3" t="s">
        <v>63</v>
      </c>
      <c r="D42" s="3" t="s">
        <v>64</v>
      </c>
      <c r="E42" s="52"/>
      <c r="F42" s="32">
        <f t="shared" si="0"/>
        <v>61</v>
      </c>
      <c r="G42" s="3" t="s">
        <v>331</v>
      </c>
      <c r="H42" s="9" t="s">
        <v>79</v>
      </c>
      <c r="I42" s="9" t="s">
        <v>80</v>
      </c>
      <c r="J42" s="3"/>
      <c r="K42" s="92"/>
      <c r="L42" s="92"/>
      <c r="M42" s="92"/>
      <c r="N42" s="36"/>
      <c r="O42" s="36"/>
      <c r="P42" s="36"/>
      <c r="Q42" s="91"/>
      <c r="R42" s="91"/>
      <c r="S42" s="91"/>
      <c r="T42" s="39"/>
      <c r="U42" s="39"/>
      <c r="V42" s="39"/>
    </row>
    <row r="43" spans="1:22" ht="18.5">
      <c r="A43" s="83" t="s">
        <v>180</v>
      </c>
      <c r="B43" s="82" t="s">
        <v>347</v>
      </c>
      <c r="C43" s="59" t="s">
        <v>63</v>
      </c>
      <c r="D43" s="59" t="s">
        <v>64</v>
      </c>
      <c r="E43" s="52">
        <v>44999</v>
      </c>
      <c r="F43" s="32">
        <f t="shared" si="0"/>
        <v>45060</v>
      </c>
      <c r="G43" s="3" t="s">
        <v>331</v>
      </c>
      <c r="H43" s="9" t="s">
        <v>79</v>
      </c>
      <c r="I43" s="9" t="s">
        <v>80</v>
      </c>
      <c r="J43" s="3"/>
      <c r="K43" s="92"/>
      <c r="L43" s="92"/>
      <c r="M43" s="92"/>
      <c r="N43" s="36"/>
      <c r="O43" s="36"/>
      <c r="P43" s="36"/>
      <c r="Q43" s="91"/>
      <c r="R43" s="91"/>
      <c r="S43" s="91"/>
      <c r="T43" s="39"/>
      <c r="U43" s="39"/>
      <c r="V43" s="39"/>
    </row>
    <row r="44" spans="1:22" ht="18.5">
      <c r="A44" s="19" t="s">
        <v>24</v>
      </c>
      <c r="B44" s="53" t="s">
        <v>88</v>
      </c>
      <c r="C44" s="111" t="s">
        <v>63</v>
      </c>
      <c r="D44" s="3" t="s">
        <v>64</v>
      </c>
      <c r="E44" s="52">
        <v>44960</v>
      </c>
      <c r="F44" s="32">
        <f t="shared" si="0"/>
        <v>45021</v>
      </c>
      <c r="G44" s="3" t="s">
        <v>331</v>
      </c>
      <c r="H44" s="9" t="s">
        <v>79</v>
      </c>
      <c r="I44" s="9" t="s">
        <v>80</v>
      </c>
      <c r="J44" s="3"/>
      <c r="K44" s="92"/>
      <c r="L44" s="92"/>
      <c r="M44" s="92"/>
      <c r="N44" s="36"/>
      <c r="O44" s="36"/>
      <c r="P44" s="36"/>
      <c r="Q44" s="91"/>
      <c r="R44" s="91"/>
      <c r="S44" s="91"/>
      <c r="T44" s="39"/>
      <c r="U44" s="39"/>
      <c r="V44" s="39"/>
    </row>
    <row r="45" spans="1:22" ht="18">
      <c r="A45" s="388" t="s">
        <v>37</v>
      </c>
      <c r="B45" s="382" t="s">
        <v>78</v>
      </c>
      <c r="C45" s="371" t="s">
        <v>63</v>
      </c>
      <c r="D45" s="371" t="s">
        <v>64</v>
      </c>
      <c r="E45" s="54"/>
      <c r="F45" s="32">
        <f t="shared" si="0"/>
        <v>61</v>
      </c>
      <c r="G45" s="3" t="s">
        <v>47</v>
      </c>
      <c r="H45" s="12">
        <v>43525</v>
      </c>
      <c r="I45" s="12">
        <v>43889</v>
      </c>
      <c r="J45" s="371"/>
      <c r="K45" s="40"/>
      <c r="L45" s="40"/>
      <c r="M45" s="41"/>
      <c r="N45" s="41"/>
      <c r="O45" s="41"/>
      <c r="P45" s="42"/>
      <c r="Q45" s="42"/>
      <c r="R45" s="42"/>
      <c r="S45" s="43"/>
      <c r="T45" s="43"/>
      <c r="U45" s="43"/>
      <c r="V45" s="40"/>
    </row>
    <row r="46" spans="1:22" ht="18">
      <c r="A46" s="389"/>
      <c r="B46" s="383"/>
      <c r="C46" s="372"/>
      <c r="D46" s="372"/>
      <c r="E46" s="54"/>
      <c r="F46" s="32">
        <f t="shared" si="0"/>
        <v>61</v>
      </c>
      <c r="G46" s="3" t="s">
        <v>44</v>
      </c>
      <c r="H46" s="12">
        <v>43342</v>
      </c>
      <c r="I46" s="12">
        <v>44802</v>
      </c>
      <c r="J46" s="372"/>
      <c r="K46" s="44"/>
      <c r="L46" s="44" t="s">
        <v>317</v>
      </c>
      <c r="M46" s="45"/>
      <c r="N46" s="45"/>
      <c r="O46" s="45" t="s">
        <v>317</v>
      </c>
      <c r="P46" s="46"/>
      <c r="Q46" s="46"/>
      <c r="R46" s="46" t="s">
        <v>317</v>
      </c>
      <c r="S46" s="47"/>
      <c r="T46" s="47"/>
      <c r="U46" s="47" t="s">
        <v>317</v>
      </c>
      <c r="V46" s="44"/>
    </row>
    <row r="47" spans="1:22" ht="18">
      <c r="A47" s="389"/>
      <c r="B47" s="383"/>
      <c r="C47" s="372"/>
      <c r="D47" s="372"/>
      <c r="E47" s="54"/>
      <c r="F47" s="32">
        <f t="shared" si="0"/>
        <v>61</v>
      </c>
      <c r="G47" s="3" t="s">
        <v>43</v>
      </c>
      <c r="H47" s="9">
        <v>42770</v>
      </c>
      <c r="I47" s="9">
        <v>44230</v>
      </c>
      <c r="J47" s="372"/>
      <c r="K47" s="48"/>
      <c r="L47" s="41" t="s">
        <v>318</v>
      </c>
      <c r="M47" s="41"/>
      <c r="N47" s="41"/>
      <c r="O47" s="42" t="s">
        <v>319</v>
      </c>
      <c r="P47" s="42"/>
      <c r="Q47" s="42"/>
      <c r="R47" s="43" t="s">
        <v>320</v>
      </c>
      <c r="S47" s="43"/>
      <c r="T47" s="43"/>
      <c r="U47" s="48" t="s">
        <v>320</v>
      </c>
      <c r="V47" s="48"/>
    </row>
    <row r="48" spans="1:22" ht="18">
      <c r="A48" s="390"/>
      <c r="B48" s="384"/>
      <c r="C48" s="373"/>
      <c r="D48" s="373"/>
      <c r="E48" s="54"/>
      <c r="F48" s="32">
        <f t="shared" si="0"/>
        <v>61</v>
      </c>
      <c r="G48" s="3" t="s">
        <v>45</v>
      </c>
      <c r="H48" s="12">
        <v>43525</v>
      </c>
      <c r="I48" s="12">
        <v>43889</v>
      </c>
      <c r="J48" s="372"/>
      <c r="K48" s="49"/>
      <c r="L48" s="49"/>
      <c r="M48" s="50"/>
      <c r="N48" s="50"/>
      <c r="O48" s="50"/>
      <c r="P48" s="40"/>
      <c r="Q48" s="40"/>
      <c r="R48" s="40"/>
      <c r="S48" s="51"/>
      <c r="T48" s="51"/>
      <c r="U48" s="51"/>
      <c r="V48" s="49"/>
    </row>
    <row r="49" spans="1:22" ht="18">
      <c r="A49" s="388" t="s">
        <v>37</v>
      </c>
      <c r="B49" s="382" t="s">
        <v>89</v>
      </c>
      <c r="C49" s="371" t="s">
        <v>63</v>
      </c>
      <c r="D49" s="371" t="s">
        <v>64</v>
      </c>
      <c r="E49" s="54"/>
      <c r="F49" s="32">
        <f t="shared" si="0"/>
        <v>61</v>
      </c>
      <c r="G49" s="3" t="s">
        <v>47</v>
      </c>
      <c r="H49" s="12">
        <v>43525</v>
      </c>
      <c r="I49" s="12">
        <v>43889</v>
      </c>
      <c r="J49" s="373"/>
      <c r="K49" s="40"/>
      <c r="L49" s="40"/>
      <c r="M49" s="41"/>
      <c r="N49" s="41"/>
      <c r="O49" s="41"/>
      <c r="P49" s="42"/>
      <c r="Q49" s="42"/>
      <c r="R49" s="42"/>
      <c r="S49" s="43"/>
      <c r="T49" s="43"/>
      <c r="U49" s="43"/>
      <c r="V49" s="40"/>
    </row>
    <row r="50" spans="1:22" ht="18">
      <c r="A50" s="389"/>
      <c r="B50" s="383"/>
      <c r="C50" s="372" t="s">
        <v>63</v>
      </c>
      <c r="D50" s="372" t="s">
        <v>64</v>
      </c>
      <c r="E50" s="54"/>
      <c r="F50" s="32">
        <f t="shared" si="0"/>
        <v>61</v>
      </c>
      <c r="G50" s="3" t="s">
        <v>44</v>
      </c>
      <c r="H50" s="12">
        <v>43342</v>
      </c>
      <c r="I50" s="12">
        <v>44802</v>
      </c>
      <c r="J50" s="371"/>
      <c r="K50" s="44"/>
      <c r="L50" s="44" t="s">
        <v>317</v>
      </c>
      <c r="M50" s="45"/>
      <c r="N50" s="45"/>
      <c r="O50" s="45" t="s">
        <v>317</v>
      </c>
      <c r="P50" s="46"/>
      <c r="Q50" s="46"/>
      <c r="R50" s="46" t="s">
        <v>317</v>
      </c>
      <c r="S50" s="47"/>
      <c r="T50" s="47"/>
      <c r="U50" s="47" t="s">
        <v>317</v>
      </c>
      <c r="V50" s="44"/>
    </row>
    <row r="51" spans="1:22" ht="18">
      <c r="A51" s="389"/>
      <c r="B51" s="383"/>
      <c r="C51" s="372" t="s">
        <v>63</v>
      </c>
      <c r="D51" s="372" t="s">
        <v>64</v>
      </c>
      <c r="E51" s="54"/>
      <c r="F51" s="32">
        <f t="shared" si="0"/>
        <v>61</v>
      </c>
      <c r="G51" s="3" t="s">
        <v>43</v>
      </c>
      <c r="H51" s="9">
        <v>42770</v>
      </c>
      <c r="I51" s="9">
        <v>44230</v>
      </c>
      <c r="J51" s="372"/>
      <c r="K51" s="48"/>
      <c r="L51" s="41" t="s">
        <v>318</v>
      </c>
      <c r="M51" s="41"/>
      <c r="N51" s="41"/>
      <c r="O51" s="42" t="s">
        <v>319</v>
      </c>
      <c r="P51" s="42"/>
      <c r="Q51" s="42"/>
      <c r="R51" s="43" t="s">
        <v>320</v>
      </c>
      <c r="S51" s="43"/>
      <c r="T51" s="43"/>
      <c r="U51" s="48" t="s">
        <v>320</v>
      </c>
      <c r="V51" s="48"/>
    </row>
    <row r="52" spans="1:22" ht="18">
      <c r="A52" s="390"/>
      <c r="B52" s="384"/>
      <c r="C52" s="373" t="s">
        <v>63</v>
      </c>
      <c r="D52" s="373" t="s">
        <v>64</v>
      </c>
      <c r="E52" s="54"/>
      <c r="F52" s="32">
        <f t="shared" si="0"/>
        <v>61</v>
      </c>
      <c r="G52" s="3" t="s">
        <v>45</v>
      </c>
      <c r="H52" s="12">
        <v>43525</v>
      </c>
      <c r="I52" s="12">
        <v>43889</v>
      </c>
      <c r="J52" s="373"/>
      <c r="K52" s="49"/>
      <c r="L52" s="49"/>
      <c r="M52" s="50"/>
      <c r="N52" s="50"/>
      <c r="O52" s="50"/>
      <c r="P52" s="40"/>
      <c r="Q52" s="40"/>
      <c r="R52" s="40"/>
      <c r="S52" s="51"/>
      <c r="T52" s="51"/>
      <c r="U52" s="51"/>
      <c r="V52" s="49"/>
    </row>
    <row r="53" spans="1:22" ht="18">
      <c r="A53" s="388" t="s">
        <v>191</v>
      </c>
      <c r="B53" s="382" t="s">
        <v>90</v>
      </c>
      <c r="C53" s="371" t="s">
        <v>63</v>
      </c>
      <c r="D53" s="371" t="s">
        <v>64</v>
      </c>
      <c r="E53" s="54"/>
      <c r="F53" s="32">
        <f t="shared" si="0"/>
        <v>61</v>
      </c>
      <c r="G53" s="3" t="s">
        <v>47</v>
      </c>
      <c r="H53" s="12">
        <v>43525</v>
      </c>
      <c r="I53" s="12">
        <v>43889</v>
      </c>
      <c r="J53" s="371"/>
      <c r="K53" s="40"/>
      <c r="L53" s="40"/>
      <c r="M53" s="41"/>
      <c r="N53" s="41"/>
      <c r="O53" s="41"/>
      <c r="P53" s="42"/>
      <c r="Q53" s="42"/>
      <c r="R53" s="42"/>
      <c r="S53" s="43"/>
      <c r="T53" s="43"/>
      <c r="U53" s="43"/>
      <c r="V53" s="40"/>
    </row>
    <row r="54" spans="1:22" ht="18">
      <c r="A54" s="389" t="s">
        <v>191</v>
      </c>
      <c r="B54" s="383"/>
      <c r="C54" s="372" t="s">
        <v>63</v>
      </c>
      <c r="D54" s="372" t="s">
        <v>64</v>
      </c>
      <c r="E54" s="54"/>
      <c r="F54" s="32">
        <f t="shared" si="0"/>
        <v>61</v>
      </c>
      <c r="G54" s="3" t="s">
        <v>44</v>
      </c>
      <c r="H54" s="12">
        <v>43342</v>
      </c>
      <c r="I54" s="12">
        <v>44802</v>
      </c>
      <c r="J54" s="372"/>
      <c r="K54" s="44"/>
      <c r="L54" s="44" t="s">
        <v>317</v>
      </c>
      <c r="M54" s="45"/>
      <c r="N54" s="45"/>
      <c r="O54" s="45" t="s">
        <v>317</v>
      </c>
      <c r="P54" s="46"/>
      <c r="Q54" s="46"/>
      <c r="R54" s="46" t="s">
        <v>317</v>
      </c>
      <c r="S54" s="47"/>
      <c r="T54" s="47"/>
      <c r="U54" s="47" t="s">
        <v>317</v>
      </c>
      <c r="V54" s="44"/>
    </row>
    <row r="55" spans="1:22" ht="18">
      <c r="A55" s="389" t="s">
        <v>191</v>
      </c>
      <c r="B55" s="383"/>
      <c r="C55" s="372" t="s">
        <v>63</v>
      </c>
      <c r="D55" s="372" t="s">
        <v>64</v>
      </c>
      <c r="E55" s="54"/>
      <c r="F55" s="32">
        <f t="shared" si="0"/>
        <v>61</v>
      </c>
      <c r="G55" s="3" t="s">
        <v>43</v>
      </c>
      <c r="H55" s="9">
        <v>42770</v>
      </c>
      <c r="I55" s="9">
        <v>44230</v>
      </c>
      <c r="J55" s="372"/>
      <c r="K55" s="48"/>
      <c r="L55" s="41" t="s">
        <v>318</v>
      </c>
      <c r="M55" s="41"/>
      <c r="N55" s="41"/>
      <c r="O55" s="42" t="s">
        <v>319</v>
      </c>
      <c r="P55" s="42"/>
      <c r="Q55" s="42"/>
      <c r="R55" s="43" t="s">
        <v>320</v>
      </c>
      <c r="S55" s="43"/>
      <c r="T55" s="43"/>
      <c r="U55" s="48" t="s">
        <v>320</v>
      </c>
      <c r="V55" s="48"/>
    </row>
    <row r="56" spans="1:22" ht="18">
      <c r="A56" s="390" t="s">
        <v>191</v>
      </c>
      <c r="B56" s="384"/>
      <c r="C56" s="373" t="s">
        <v>63</v>
      </c>
      <c r="D56" s="373" t="s">
        <v>64</v>
      </c>
      <c r="E56" s="54"/>
      <c r="F56" s="32">
        <f t="shared" si="0"/>
        <v>61</v>
      </c>
      <c r="G56" s="3" t="s">
        <v>45</v>
      </c>
      <c r="H56" s="12">
        <v>43525</v>
      </c>
      <c r="I56" s="12">
        <v>43889</v>
      </c>
      <c r="J56" s="373"/>
      <c r="K56" s="49"/>
      <c r="L56" s="49"/>
      <c r="M56" s="50"/>
      <c r="N56" s="50"/>
      <c r="O56" s="50"/>
      <c r="P56" s="40"/>
      <c r="Q56" s="40"/>
      <c r="R56" s="40"/>
      <c r="S56" s="51"/>
      <c r="T56" s="51"/>
      <c r="U56" s="51"/>
      <c r="V56" s="49"/>
    </row>
    <row r="57" spans="1:22" ht="18">
      <c r="A57" s="388" t="s">
        <v>37</v>
      </c>
      <c r="B57" s="382" t="s">
        <v>525</v>
      </c>
      <c r="C57" s="371" t="s">
        <v>63</v>
      </c>
      <c r="D57" s="371" t="s">
        <v>64</v>
      </c>
      <c r="E57" s="54"/>
      <c r="F57" s="32">
        <f t="shared" si="0"/>
        <v>61</v>
      </c>
      <c r="G57" s="3" t="s">
        <v>47</v>
      </c>
      <c r="H57" s="12">
        <v>43525</v>
      </c>
      <c r="I57" s="12">
        <v>43889</v>
      </c>
      <c r="J57" s="371"/>
      <c r="K57" s="40"/>
      <c r="L57" s="40"/>
      <c r="M57" s="41"/>
      <c r="N57" s="41"/>
      <c r="O57" s="41"/>
      <c r="P57" s="42"/>
      <c r="Q57" s="42"/>
      <c r="R57" s="42"/>
      <c r="S57" s="43"/>
      <c r="T57" s="43"/>
      <c r="U57" s="43"/>
      <c r="V57" s="40"/>
    </row>
    <row r="58" spans="1:22" ht="18">
      <c r="A58" s="389"/>
      <c r="B58" s="383"/>
      <c r="C58" s="372" t="s">
        <v>63</v>
      </c>
      <c r="D58" s="372" t="s">
        <v>64</v>
      </c>
      <c r="E58" s="54"/>
      <c r="F58" s="32">
        <f t="shared" si="0"/>
        <v>61</v>
      </c>
      <c r="G58" s="3" t="s">
        <v>44</v>
      </c>
      <c r="H58" s="12">
        <v>43342</v>
      </c>
      <c r="I58" s="12">
        <v>44802</v>
      </c>
      <c r="J58" s="372"/>
      <c r="K58" s="44"/>
      <c r="L58" s="44" t="s">
        <v>317</v>
      </c>
      <c r="M58" s="45"/>
      <c r="N58" s="45"/>
      <c r="O58" s="45" t="s">
        <v>317</v>
      </c>
      <c r="P58" s="46"/>
      <c r="Q58" s="46"/>
      <c r="R58" s="46" t="s">
        <v>317</v>
      </c>
      <c r="S58" s="47"/>
      <c r="T58" s="47"/>
      <c r="U58" s="47" t="s">
        <v>317</v>
      </c>
      <c r="V58" s="44"/>
    </row>
    <row r="59" spans="1:22" ht="18">
      <c r="A59" s="389"/>
      <c r="B59" s="383"/>
      <c r="C59" s="372" t="s">
        <v>63</v>
      </c>
      <c r="D59" s="372" t="s">
        <v>64</v>
      </c>
      <c r="E59" s="54"/>
      <c r="F59" s="32">
        <f t="shared" si="0"/>
        <v>61</v>
      </c>
      <c r="G59" s="3" t="s">
        <v>43</v>
      </c>
      <c r="H59" s="9">
        <v>42770</v>
      </c>
      <c r="I59" s="9">
        <v>44230</v>
      </c>
      <c r="J59" s="372"/>
      <c r="K59" s="48"/>
      <c r="L59" s="41" t="s">
        <v>318</v>
      </c>
      <c r="M59" s="41"/>
      <c r="N59" s="41"/>
      <c r="O59" s="42" t="s">
        <v>319</v>
      </c>
      <c r="P59" s="42"/>
      <c r="Q59" s="42"/>
      <c r="R59" s="43" t="s">
        <v>320</v>
      </c>
      <c r="S59" s="43"/>
      <c r="T59" s="43"/>
      <c r="U59" s="48" t="s">
        <v>320</v>
      </c>
      <c r="V59" s="48"/>
    </row>
    <row r="60" spans="1:22" ht="18">
      <c r="A60" s="390"/>
      <c r="B60" s="384"/>
      <c r="C60" s="373" t="s">
        <v>63</v>
      </c>
      <c r="D60" s="373" t="s">
        <v>64</v>
      </c>
      <c r="E60" s="54"/>
      <c r="F60" s="32">
        <f t="shared" si="0"/>
        <v>61</v>
      </c>
      <c r="G60" s="3" t="s">
        <v>45</v>
      </c>
      <c r="H60" s="12">
        <v>43525</v>
      </c>
      <c r="I60" s="12">
        <v>43889</v>
      </c>
      <c r="J60" s="373"/>
      <c r="K60" s="49"/>
      <c r="L60" s="49"/>
      <c r="M60" s="50"/>
      <c r="N60" s="50"/>
      <c r="O60" s="50"/>
      <c r="P60" s="40"/>
      <c r="Q60" s="40"/>
      <c r="R60" s="40"/>
      <c r="S60" s="51"/>
      <c r="T60" s="51"/>
      <c r="U60" s="51"/>
      <c r="V60" s="49"/>
    </row>
    <row r="61" spans="1:22" ht="18">
      <c r="A61" s="388" t="s">
        <v>37</v>
      </c>
      <c r="B61" s="382" t="s">
        <v>91</v>
      </c>
      <c r="C61" s="371" t="s">
        <v>63</v>
      </c>
      <c r="D61" s="371" t="s">
        <v>64</v>
      </c>
      <c r="E61" s="54"/>
      <c r="F61" s="32">
        <f t="shared" si="0"/>
        <v>61</v>
      </c>
      <c r="G61" s="3" t="s">
        <v>47</v>
      </c>
      <c r="H61" s="12">
        <v>43525</v>
      </c>
      <c r="I61" s="12">
        <v>43889</v>
      </c>
      <c r="J61" s="371"/>
      <c r="K61" s="40"/>
      <c r="L61" s="40"/>
      <c r="M61" s="41"/>
      <c r="N61" s="41"/>
      <c r="O61" s="41"/>
      <c r="P61" s="42"/>
      <c r="Q61" s="42"/>
      <c r="R61" s="42"/>
      <c r="S61" s="43"/>
      <c r="T61" s="43"/>
      <c r="U61" s="43"/>
      <c r="V61" s="40"/>
    </row>
    <row r="62" spans="1:22" ht="18">
      <c r="A62" s="389"/>
      <c r="B62" s="383"/>
      <c r="C62" s="372" t="s">
        <v>63</v>
      </c>
      <c r="D62" s="372" t="s">
        <v>64</v>
      </c>
      <c r="E62" s="54"/>
      <c r="F62" s="32">
        <f t="shared" si="0"/>
        <v>61</v>
      </c>
      <c r="G62" s="3" t="s">
        <v>44</v>
      </c>
      <c r="H62" s="12">
        <v>43342</v>
      </c>
      <c r="I62" s="12">
        <v>44802</v>
      </c>
      <c r="J62" s="372"/>
      <c r="K62" s="44"/>
      <c r="L62" s="44" t="s">
        <v>317</v>
      </c>
      <c r="M62" s="45"/>
      <c r="N62" s="45"/>
      <c r="O62" s="45" t="s">
        <v>317</v>
      </c>
      <c r="P62" s="46"/>
      <c r="Q62" s="46"/>
      <c r="R62" s="46" t="s">
        <v>317</v>
      </c>
      <c r="S62" s="47"/>
      <c r="T62" s="47"/>
      <c r="U62" s="47" t="s">
        <v>317</v>
      </c>
      <c r="V62" s="44"/>
    </row>
    <row r="63" spans="1:22" ht="18">
      <c r="A63" s="389"/>
      <c r="B63" s="383"/>
      <c r="C63" s="372" t="s">
        <v>63</v>
      </c>
      <c r="D63" s="372" t="s">
        <v>64</v>
      </c>
      <c r="E63" s="54"/>
      <c r="F63" s="32">
        <f t="shared" si="0"/>
        <v>61</v>
      </c>
      <c r="G63" s="3" t="s">
        <v>43</v>
      </c>
      <c r="H63" s="9">
        <v>42770</v>
      </c>
      <c r="I63" s="9">
        <v>44230</v>
      </c>
      <c r="J63" s="372"/>
      <c r="K63" s="48"/>
      <c r="L63" s="41" t="s">
        <v>318</v>
      </c>
      <c r="M63" s="41"/>
      <c r="N63" s="41"/>
      <c r="O63" s="42" t="s">
        <v>319</v>
      </c>
      <c r="P63" s="42"/>
      <c r="Q63" s="42"/>
      <c r="R63" s="43" t="s">
        <v>320</v>
      </c>
      <c r="S63" s="43"/>
      <c r="T63" s="43"/>
      <c r="U63" s="48" t="s">
        <v>320</v>
      </c>
      <c r="V63" s="48"/>
    </row>
    <row r="64" spans="1:22" ht="18">
      <c r="A64" s="390"/>
      <c r="B64" s="384"/>
      <c r="C64" s="373" t="s">
        <v>63</v>
      </c>
      <c r="D64" s="373" t="s">
        <v>64</v>
      </c>
      <c r="E64" s="54"/>
      <c r="F64" s="32">
        <f t="shared" si="0"/>
        <v>61</v>
      </c>
      <c r="G64" s="3" t="s">
        <v>45</v>
      </c>
      <c r="H64" s="12">
        <v>43525</v>
      </c>
      <c r="I64" s="12">
        <v>43889</v>
      </c>
      <c r="J64" s="373"/>
      <c r="K64" s="49"/>
      <c r="L64" s="49"/>
      <c r="M64" s="50"/>
      <c r="N64" s="50"/>
      <c r="O64" s="50"/>
      <c r="P64" s="40"/>
      <c r="Q64" s="40"/>
      <c r="R64" s="40"/>
      <c r="S64" s="51"/>
      <c r="T64" s="51"/>
      <c r="U64" s="51"/>
      <c r="V64" s="49"/>
    </row>
    <row r="65" spans="1:22" ht="18">
      <c r="A65" s="388" t="s">
        <v>37</v>
      </c>
      <c r="B65" s="382" t="s">
        <v>526</v>
      </c>
      <c r="C65" s="371" t="s">
        <v>63</v>
      </c>
      <c r="D65" s="371" t="s">
        <v>64</v>
      </c>
      <c r="E65" s="54"/>
      <c r="F65" s="32">
        <f t="shared" ref="F65:F98" si="1">E65+61</f>
        <v>61</v>
      </c>
      <c r="G65" s="3" t="s">
        <v>47</v>
      </c>
      <c r="H65" s="12">
        <v>43525</v>
      </c>
      <c r="I65" s="12">
        <v>43889</v>
      </c>
      <c r="J65" s="371"/>
      <c r="K65" s="40"/>
      <c r="L65" s="40"/>
      <c r="M65" s="41"/>
      <c r="N65" s="41"/>
      <c r="O65" s="41"/>
      <c r="P65" s="42"/>
      <c r="Q65" s="42"/>
      <c r="R65" s="42"/>
      <c r="S65" s="43"/>
      <c r="T65" s="43"/>
      <c r="U65" s="43"/>
      <c r="V65" s="40"/>
    </row>
    <row r="66" spans="1:22" ht="18">
      <c r="A66" s="389"/>
      <c r="B66" s="383"/>
      <c r="C66" s="372" t="s">
        <v>63</v>
      </c>
      <c r="D66" s="372" t="s">
        <v>64</v>
      </c>
      <c r="E66" s="54"/>
      <c r="F66" s="32">
        <f t="shared" si="1"/>
        <v>61</v>
      </c>
      <c r="G66" s="3" t="s">
        <v>44</v>
      </c>
      <c r="H66" s="12">
        <v>43342</v>
      </c>
      <c r="I66" s="12">
        <v>44802</v>
      </c>
      <c r="J66" s="372"/>
      <c r="K66" s="44"/>
      <c r="L66" s="44" t="s">
        <v>317</v>
      </c>
      <c r="M66" s="45"/>
      <c r="N66" s="45"/>
      <c r="O66" s="45" t="s">
        <v>317</v>
      </c>
      <c r="P66" s="46"/>
      <c r="Q66" s="46"/>
      <c r="R66" s="46" t="s">
        <v>317</v>
      </c>
      <c r="S66" s="47"/>
      <c r="T66" s="47"/>
      <c r="U66" s="47" t="s">
        <v>317</v>
      </c>
      <c r="V66" s="44"/>
    </row>
    <row r="67" spans="1:22" ht="18">
      <c r="A67" s="389"/>
      <c r="B67" s="383"/>
      <c r="C67" s="372" t="s">
        <v>63</v>
      </c>
      <c r="D67" s="372" t="s">
        <v>64</v>
      </c>
      <c r="E67" s="54"/>
      <c r="F67" s="32">
        <f t="shared" si="1"/>
        <v>61</v>
      </c>
      <c r="G67" s="3" t="s">
        <v>43</v>
      </c>
      <c r="H67" s="9">
        <v>42770</v>
      </c>
      <c r="I67" s="9">
        <v>44230</v>
      </c>
      <c r="J67" s="372"/>
      <c r="K67" s="48"/>
      <c r="L67" s="41" t="s">
        <v>318</v>
      </c>
      <c r="M67" s="41"/>
      <c r="N67" s="41"/>
      <c r="O67" s="42" t="s">
        <v>319</v>
      </c>
      <c r="P67" s="42"/>
      <c r="Q67" s="42"/>
      <c r="R67" s="43" t="s">
        <v>320</v>
      </c>
      <c r="S67" s="43"/>
      <c r="T67" s="43"/>
      <c r="U67" s="48" t="s">
        <v>320</v>
      </c>
      <c r="V67" s="48"/>
    </row>
    <row r="68" spans="1:22" ht="18">
      <c r="A68" s="390"/>
      <c r="B68" s="384"/>
      <c r="C68" s="373" t="s">
        <v>63</v>
      </c>
      <c r="D68" s="373" t="s">
        <v>64</v>
      </c>
      <c r="E68" s="54"/>
      <c r="F68" s="32">
        <f t="shared" si="1"/>
        <v>61</v>
      </c>
      <c r="G68" s="3" t="s">
        <v>45</v>
      </c>
      <c r="H68" s="12">
        <v>43525</v>
      </c>
      <c r="I68" s="12">
        <v>43889</v>
      </c>
      <c r="J68" s="373"/>
      <c r="K68" s="49"/>
      <c r="L68" s="49"/>
      <c r="M68" s="50"/>
      <c r="N68" s="50"/>
      <c r="O68" s="50"/>
      <c r="P68" s="40"/>
      <c r="Q68" s="40"/>
      <c r="R68" s="40"/>
      <c r="S68" s="51"/>
      <c r="T68" s="51"/>
      <c r="U68" s="51"/>
      <c r="V68" s="49"/>
    </row>
    <row r="69" spans="1:22" ht="18">
      <c r="A69" s="388" t="s">
        <v>37</v>
      </c>
      <c r="B69" s="382" t="s">
        <v>527</v>
      </c>
      <c r="C69" s="371" t="s">
        <v>63</v>
      </c>
      <c r="D69" s="371" t="s">
        <v>64</v>
      </c>
      <c r="E69" s="54"/>
      <c r="F69" s="32">
        <f t="shared" si="1"/>
        <v>61</v>
      </c>
      <c r="G69" s="3" t="s">
        <v>47</v>
      </c>
      <c r="H69" s="12">
        <v>43525</v>
      </c>
      <c r="I69" s="12">
        <v>43889</v>
      </c>
      <c r="J69" s="371"/>
      <c r="K69" s="40"/>
      <c r="L69" s="40"/>
      <c r="M69" s="41"/>
      <c r="N69" s="41"/>
      <c r="O69" s="41"/>
      <c r="P69" s="42"/>
      <c r="Q69" s="42"/>
      <c r="R69" s="42"/>
      <c r="S69" s="43"/>
      <c r="T69" s="43"/>
      <c r="U69" s="43"/>
      <c r="V69" s="40"/>
    </row>
    <row r="70" spans="1:22" ht="18">
      <c r="A70" s="389"/>
      <c r="B70" s="383"/>
      <c r="C70" s="372" t="s">
        <v>63</v>
      </c>
      <c r="D70" s="372" t="s">
        <v>64</v>
      </c>
      <c r="E70" s="54"/>
      <c r="F70" s="32">
        <f t="shared" si="1"/>
        <v>61</v>
      </c>
      <c r="G70" s="3" t="s">
        <v>44</v>
      </c>
      <c r="H70" s="12">
        <v>43342</v>
      </c>
      <c r="I70" s="12">
        <v>44802</v>
      </c>
      <c r="J70" s="372"/>
      <c r="K70" s="44"/>
      <c r="L70" s="44" t="s">
        <v>317</v>
      </c>
      <c r="M70" s="45"/>
      <c r="N70" s="45"/>
      <c r="O70" s="45" t="s">
        <v>317</v>
      </c>
      <c r="P70" s="46"/>
      <c r="Q70" s="46"/>
      <c r="R70" s="46" t="s">
        <v>317</v>
      </c>
      <c r="S70" s="47"/>
      <c r="T70" s="47"/>
      <c r="U70" s="47" t="s">
        <v>317</v>
      </c>
      <c r="V70" s="44"/>
    </row>
    <row r="71" spans="1:22" ht="18">
      <c r="A71" s="389"/>
      <c r="B71" s="383"/>
      <c r="C71" s="372" t="s">
        <v>63</v>
      </c>
      <c r="D71" s="372" t="s">
        <v>64</v>
      </c>
      <c r="E71" s="54"/>
      <c r="F71" s="32">
        <f t="shared" si="1"/>
        <v>61</v>
      </c>
      <c r="G71" s="3" t="s">
        <v>43</v>
      </c>
      <c r="H71" s="9">
        <v>42770</v>
      </c>
      <c r="I71" s="9">
        <v>44230</v>
      </c>
      <c r="J71" s="372"/>
      <c r="K71" s="48"/>
      <c r="L71" s="41" t="s">
        <v>318</v>
      </c>
      <c r="M71" s="41"/>
      <c r="N71" s="41"/>
      <c r="O71" s="42" t="s">
        <v>319</v>
      </c>
      <c r="P71" s="42"/>
      <c r="Q71" s="42"/>
      <c r="R71" s="43" t="s">
        <v>320</v>
      </c>
      <c r="S71" s="43"/>
      <c r="T71" s="43"/>
      <c r="U71" s="48" t="s">
        <v>320</v>
      </c>
      <c r="V71" s="48"/>
    </row>
    <row r="72" spans="1:22" ht="18">
      <c r="A72" s="390"/>
      <c r="B72" s="384"/>
      <c r="C72" s="373" t="s">
        <v>63</v>
      </c>
      <c r="D72" s="373" t="s">
        <v>64</v>
      </c>
      <c r="E72" s="54"/>
      <c r="F72" s="32">
        <f t="shared" si="1"/>
        <v>61</v>
      </c>
      <c r="G72" s="3" t="s">
        <v>45</v>
      </c>
      <c r="H72" s="12">
        <v>43525</v>
      </c>
      <c r="I72" s="12">
        <v>43889</v>
      </c>
      <c r="J72" s="373"/>
      <c r="K72" s="49"/>
      <c r="L72" s="49"/>
      <c r="M72" s="50"/>
      <c r="N72" s="50"/>
      <c r="O72" s="50"/>
      <c r="P72" s="40"/>
      <c r="Q72" s="40"/>
      <c r="R72" s="40"/>
      <c r="S72" s="51"/>
      <c r="T72" s="51"/>
      <c r="U72" s="51"/>
      <c r="V72" s="49"/>
    </row>
    <row r="73" spans="1:22" ht="18">
      <c r="A73" s="388" t="s">
        <v>37</v>
      </c>
      <c r="B73" s="382" t="s">
        <v>83</v>
      </c>
      <c r="C73" s="371" t="s">
        <v>63</v>
      </c>
      <c r="D73" s="371" t="s">
        <v>64</v>
      </c>
      <c r="E73" s="54"/>
      <c r="F73" s="32">
        <f t="shared" si="1"/>
        <v>61</v>
      </c>
      <c r="G73" s="3" t="s">
        <v>47</v>
      </c>
      <c r="H73" s="12">
        <v>43525</v>
      </c>
      <c r="I73" s="12">
        <v>43889</v>
      </c>
      <c r="J73" s="371"/>
      <c r="K73" s="40"/>
      <c r="L73" s="40"/>
      <c r="M73" s="41"/>
      <c r="N73" s="41"/>
      <c r="O73" s="41"/>
      <c r="P73" s="42"/>
      <c r="Q73" s="42"/>
      <c r="R73" s="42"/>
      <c r="S73" s="43"/>
      <c r="T73" s="43"/>
      <c r="U73" s="43"/>
      <c r="V73" s="40"/>
    </row>
    <row r="74" spans="1:22" ht="18">
      <c r="A74" s="389"/>
      <c r="B74" s="383"/>
      <c r="C74" s="372" t="s">
        <v>63</v>
      </c>
      <c r="D74" s="372" t="s">
        <v>64</v>
      </c>
      <c r="E74" s="54"/>
      <c r="F74" s="32">
        <f t="shared" si="1"/>
        <v>61</v>
      </c>
      <c r="G74" s="3" t="s">
        <v>44</v>
      </c>
      <c r="H74" s="12">
        <v>43342</v>
      </c>
      <c r="I74" s="12">
        <v>44802</v>
      </c>
      <c r="J74" s="372"/>
      <c r="K74" s="44"/>
      <c r="L74" s="44" t="s">
        <v>317</v>
      </c>
      <c r="M74" s="45"/>
      <c r="N74" s="45"/>
      <c r="O74" s="45" t="s">
        <v>317</v>
      </c>
      <c r="P74" s="46"/>
      <c r="Q74" s="46"/>
      <c r="R74" s="46" t="s">
        <v>317</v>
      </c>
      <c r="S74" s="47"/>
      <c r="T74" s="47"/>
      <c r="U74" s="47" t="s">
        <v>317</v>
      </c>
      <c r="V74" s="44"/>
    </row>
    <row r="75" spans="1:22" ht="18">
      <c r="A75" s="390"/>
      <c r="B75" s="384"/>
      <c r="C75" s="373" t="s">
        <v>63</v>
      </c>
      <c r="D75" s="373" t="s">
        <v>64</v>
      </c>
      <c r="E75" s="54"/>
      <c r="F75" s="32">
        <f t="shared" si="1"/>
        <v>61</v>
      </c>
      <c r="G75" s="3" t="s">
        <v>43</v>
      </c>
      <c r="H75" s="9">
        <v>42770</v>
      </c>
      <c r="I75" s="9">
        <v>44230</v>
      </c>
      <c r="J75" s="373"/>
      <c r="K75" s="48"/>
      <c r="L75" s="41" t="s">
        <v>318</v>
      </c>
      <c r="M75" s="41"/>
      <c r="N75" s="41"/>
      <c r="O75" s="42" t="s">
        <v>319</v>
      </c>
      <c r="P75" s="42"/>
      <c r="Q75" s="42"/>
      <c r="R75" s="43" t="s">
        <v>320</v>
      </c>
      <c r="S75" s="43"/>
      <c r="T75" s="43"/>
      <c r="U75" s="48" t="s">
        <v>320</v>
      </c>
      <c r="V75" s="48"/>
    </row>
    <row r="76" spans="1:22" ht="18">
      <c r="A76" s="388" t="s">
        <v>37</v>
      </c>
      <c r="B76" s="382" t="s">
        <v>92</v>
      </c>
      <c r="C76" s="371" t="s">
        <v>63</v>
      </c>
      <c r="D76" s="371" t="s">
        <v>64</v>
      </c>
      <c r="E76" s="54"/>
      <c r="F76" s="32">
        <f t="shared" si="1"/>
        <v>61</v>
      </c>
      <c r="G76" s="3" t="s">
        <v>47</v>
      </c>
      <c r="H76" s="12">
        <v>43525</v>
      </c>
      <c r="I76" s="12">
        <v>43889</v>
      </c>
      <c r="J76" s="371"/>
      <c r="K76" s="40"/>
      <c r="L76" s="40"/>
      <c r="M76" s="41"/>
      <c r="N76" s="41"/>
      <c r="O76" s="41"/>
      <c r="P76" s="42"/>
      <c r="Q76" s="42"/>
      <c r="R76" s="42"/>
      <c r="S76" s="43"/>
      <c r="T76" s="43"/>
      <c r="U76" s="43"/>
      <c r="V76" s="40"/>
    </row>
    <row r="77" spans="1:22" ht="18">
      <c r="A77" s="389"/>
      <c r="B77" s="383"/>
      <c r="C77" s="372" t="s">
        <v>63</v>
      </c>
      <c r="D77" s="372" t="s">
        <v>64</v>
      </c>
      <c r="E77" s="54"/>
      <c r="F77" s="32">
        <f t="shared" si="1"/>
        <v>61</v>
      </c>
      <c r="G77" s="3" t="s">
        <v>44</v>
      </c>
      <c r="H77" s="12">
        <v>43342</v>
      </c>
      <c r="I77" s="12">
        <v>44802</v>
      </c>
      <c r="J77" s="372"/>
      <c r="K77" s="44"/>
      <c r="L77" s="44" t="s">
        <v>317</v>
      </c>
      <c r="M77" s="45"/>
      <c r="N77" s="45"/>
      <c r="O77" s="45" t="s">
        <v>317</v>
      </c>
      <c r="P77" s="46"/>
      <c r="Q77" s="46"/>
      <c r="R77" s="46" t="s">
        <v>317</v>
      </c>
      <c r="S77" s="47"/>
      <c r="T77" s="47"/>
      <c r="U77" s="47" t="s">
        <v>317</v>
      </c>
      <c r="V77" s="44"/>
    </row>
    <row r="78" spans="1:22" ht="18">
      <c r="A78" s="389"/>
      <c r="B78" s="383"/>
      <c r="C78" s="372" t="s">
        <v>63</v>
      </c>
      <c r="D78" s="372" t="s">
        <v>64</v>
      </c>
      <c r="E78" s="54"/>
      <c r="F78" s="32">
        <f t="shared" si="1"/>
        <v>61</v>
      </c>
      <c r="G78" s="3" t="s">
        <v>43</v>
      </c>
      <c r="H78" s="9">
        <v>42770</v>
      </c>
      <c r="I78" s="9">
        <v>44230</v>
      </c>
      <c r="J78" s="372"/>
      <c r="K78" s="48"/>
      <c r="L78" s="41" t="s">
        <v>318</v>
      </c>
      <c r="M78" s="41"/>
      <c r="N78" s="41"/>
      <c r="O78" s="42" t="s">
        <v>319</v>
      </c>
      <c r="P78" s="42"/>
      <c r="Q78" s="42"/>
      <c r="R78" s="43" t="s">
        <v>320</v>
      </c>
      <c r="S78" s="43"/>
      <c r="T78" s="43"/>
      <c r="U78" s="48" t="s">
        <v>320</v>
      </c>
      <c r="V78" s="48"/>
    </row>
    <row r="79" spans="1:22" ht="18">
      <c r="A79" s="390"/>
      <c r="B79" s="384"/>
      <c r="C79" s="373" t="s">
        <v>63</v>
      </c>
      <c r="D79" s="373" t="s">
        <v>64</v>
      </c>
      <c r="E79" s="54"/>
      <c r="F79" s="32">
        <f t="shared" si="1"/>
        <v>61</v>
      </c>
      <c r="G79" s="3" t="s">
        <v>45</v>
      </c>
      <c r="H79" s="12">
        <v>43525</v>
      </c>
      <c r="I79" s="12">
        <v>43889</v>
      </c>
      <c r="J79" s="373"/>
      <c r="K79" s="49"/>
      <c r="L79" s="49"/>
      <c r="M79" s="50"/>
      <c r="N79" s="50"/>
      <c r="O79" s="50"/>
      <c r="P79" s="40"/>
      <c r="Q79" s="40"/>
      <c r="R79" s="40"/>
      <c r="S79" s="51"/>
      <c r="T79" s="51"/>
      <c r="U79" s="51"/>
      <c r="V79" s="49"/>
    </row>
    <row r="80" spans="1:22" ht="18">
      <c r="A80" s="388" t="s">
        <v>37</v>
      </c>
      <c r="B80" s="382" t="s">
        <v>84</v>
      </c>
      <c r="C80" s="371" t="s">
        <v>63</v>
      </c>
      <c r="D80" s="371" t="s">
        <v>64</v>
      </c>
      <c r="E80" s="54"/>
      <c r="F80" s="32">
        <f t="shared" si="1"/>
        <v>61</v>
      </c>
      <c r="G80" s="3" t="s">
        <v>47</v>
      </c>
      <c r="H80" s="12">
        <v>43525</v>
      </c>
      <c r="I80" s="12">
        <v>43889</v>
      </c>
      <c r="J80" s="371"/>
      <c r="K80" s="40"/>
      <c r="L80" s="40"/>
      <c r="M80" s="41"/>
      <c r="N80" s="41"/>
      <c r="O80" s="41"/>
      <c r="P80" s="42"/>
      <c r="Q80" s="42"/>
      <c r="R80" s="42"/>
      <c r="S80" s="43"/>
      <c r="T80" s="43"/>
      <c r="U80" s="43"/>
      <c r="V80" s="40"/>
    </row>
    <row r="81" spans="1:22" ht="18">
      <c r="A81" s="389"/>
      <c r="B81" s="383"/>
      <c r="C81" s="372" t="s">
        <v>63</v>
      </c>
      <c r="D81" s="372" t="s">
        <v>64</v>
      </c>
      <c r="E81" s="54"/>
      <c r="F81" s="32">
        <f t="shared" si="1"/>
        <v>61</v>
      </c>
      <c r="G81" s="3" t="s">
        <v>44</v>
      </c>
      <c r="H81" s="12">
        <v>43342</v>
      </c>
      <c r="I81" s="12">
        <v>44802</v>
      </c>
      <c r="J81" s="372"/>
      <c r="K81" s="44"/>
      <c r="L81" s="44" t="s">
        <v>317</v>
      </c>
      <c r="M81" s="45"/>
      <c r="N81" s="45"/>
      <c r="O81" s="45" t="s">
        <v>317</v>
      </c>
      <c r="P81" s="46"/>
      <c r="Q81" s="46"/>
      <c r="R81" s="46" t="s">
        <v>317</v>
      </c>
      <c r="S81" s="47"/>
      <c r="T81" s="47"/>
      <c r="U81" s="47" t="s">
        <v>317</v>
      </c>
      <c r="V81" s="44"/>
    </row>
    <row r="82" spans="1:22" ht="18">
      <c r="A82" s="389"/>
      <c r="B82" s="383"/>
      <c r="C82" s="372" t="s">
        <v>63</v>
      </c>
      <c r="D82" s="372" t="s">
        <v>64</v>
      </c>
      <c r="E82" s="54"/>
      <c r="F82" s="32">
        <f t="shared" si="1"/>
        <v>61</v>
      </c>
      <c r="G82" s="3" t="s">
        <v>43</v>
      </c>
      <c r="H82" s="9">
        <v>42770</v>
      </c>
      <c r="I82" s="9">
        <v>44230</v>
      </c>
      <c r="J82" s="372"/>
      <c r="K82" s="48"/>
      <c r="L82" s="41" t="s">
        <v>318</v>
      </c>
      <c r="M82" s="41"/>
      <c r="N82" s="41"/>
      <c r="O82" s="42" t="s">
        <v>319</v>
      </c>
      <c r="P82" s="42"/>
      <c r="Q82" s="42"/>
      <c r="R82" s="43" t="s">
        <v>320</v>
      </c>
      <c r="S82" s="43"/>
      <c r="T82" s="43"/>
      <c r="U82" s="48" t="s">
        <v>320</v>
      </c>
      <c r="V82" s="48"/>
    </row>
    <row r="83" spans="1:22" ht="18">
      <c r="A83" s="390"/>
      <c r="B83" s="384"/>
      <c r="C83" s="373" t="s">
        <v>63</v>
      </c>
      <c r="D83" s="373" t="s">
        <v>64</v>
      </c>
      <c r="E83" s="54"/>
      <c r="F83" s="32">
        <f t="shared" si="1"/>
        <v>61</v>
      </c>
      <c r="G83" s="3" t="s">
        <v>45</v>
      </c>
      <c r="H83" s="12">
        <v>43525</v>
      </c>
      <c r="I83" s="12">
        <v>43889</v>
      </c>
      <c r="J83" s="373"/>
      <c r="K83" s="49"/>
      <c r="L83" s="49"/>
      <c r="M83" s="50"/>
      <c r="N83" s="50"/>
      <c r="O83" s="50"/>
      <c r="P83" s="40"/>
      <c r="Q83" s="40"/>
      <c r="R83" s="40"/>
      <c r="S83" s="51"/>
      <c r="T83" s="51"/>
      <c r="U83" s="51"/>
      <c r="V83" s="49"/>
    </row>
    <row r="84" spans="1:22" ht="18">
      <c r="A84" s="388" t="s">
        <v>37</v>
      </c>
      <c r="B84" s="382" t="s">
        <v>329</v>
      </c>
      <c r="C84" s="371" t="s">
        <v>63</v>
      </c>
      <c r="D84" s="371" t="s">
        <v>64</v>
      </c>
      <c r="E84" s="54"/>
      <c r="F84" s="32">
        <f t="shared" si="1"/>
        <v>61</v>
      </c>
      <c r="G84" s="3" t="s">
        <v>47</v>
      </c>
      <c r="H84" s="12">
        <v>43525</v>
      </c>
      <c r="I84" s="12">
        <v>43889</v>
      </c>
      <c r="J84" s="374"/>
      <c r="K84" s="40"/>
      <c r="L84" s="40"/>
      <c r="M84" s="41"/>
      <c r="N84" s="41"/>
      <c r="O84" s="41"/>
      <c r="P84" s="42"/>
      <c r="Q84" s="42"/>
      <c r="R84" s="42"/>
      <c r="S84" s="43"/>
      <c r="T84" s="43"/>
      <c r="U84" s="43"/>
      <c r="V84" s="40"/>
    </row>
    <row r="85" spans="1:22" ht="18">
      <c r="A85" s="389"/>
      <c r="B85" s="383"/>
      <c r="C85" s="372" t="s">
        <v>63</v>
      </c>
      <c r="D85" s="372" t="s">
        <v>64</v>
      </c>
      <c r="E85" s="54"/>
      <c r="F85" s="32">
        <f t="shared" si="1"/>
        <v>61</v>
      </c>
      <c r="G85" s="3" t="s">
        <v>44</v>
      </c>
      <c r="H85" s="12">
        <v>43342</v>
      </c>
      <c r="I85" s="12">
        <v>44802</v>
      </c>
      <c r="J85" s="372"/>
      <c r="K85" s="44"/>
      <c r="L85" s="44" t="s">
        <v>317</v>
      </c>
      <c r="M85" s="45"/>
      <c r="N85" s="45"/>
      <c r="O85" s="45" t="s">
        <v>317</v>
      </c>
      <c r="P85" s="46"/>
      <c r="Q85" s="46"/>
      <c r="R85" s="46" t="s">
        <v>317</v>
      </c>
      <c r="S85" s="47"/>
      <c r="T85" s="47"/>
      <c r="U85" s="47" t="s">
        <v>317</v>
      </c>
      <c r="V85" s="44"/>
    </row>
    <row r="86" spans="1:22" ht="18">
      <c r="A86" s="389"/>
      <c r="B86" s="383"/>
      <c r="C86" s="372" t="s">
        <v>63</v>
      </c>
      <c r="D86" s="372" t="s">
        <v>64</v>
      </c>
      <c r="E86" s="54"/>
      <c r="F86" s="32">
        <f t="shared" si="1"/>
        <v>61</v>
      </c>
      <c r="G86" s="3" t="s">
        <v>43</v>
      </c>
      <c r="H86" s="9">
        <v>42770</v>
      </c>
      <c r="I86" s="9">
        <v>44230</v>
      </c>
      <c r="J86" s="372"/>
      <c r="K86" s="48"/>
      <c r="L86" s="41" t="s">
        <v>318</v>
      </c>
      <c r="M86" s="41"/>
      <c r="N86" s="41"/>
      <c r="O86" s="42" t="s">
        <v>319</v>
      </c>
      <c r="P86" s="42"/>
      <c r="Q86" s="42"/>
      <c r="R86" s="43" t="s">
        <v>320</v>
      </c>
      <c r="S86" s="43"/>
      <c r="T86" s="43"/>
      <c r="U86" s="48" t="s">
        <v>320</v>
      </c>
      <c r="V86" s="48"/>
    </row>
    <row r="87" spans="1:22" ht="18">
      <c r="A87" s="390"/>
      <c r="B87" s="384"/>
      <c r="C87" s="373" t="s">
        <v>63</v>
      </c>
      <c r="D87" s="373" t="s">
        <v>64</v>
      </c>
      <c r="E87" s="54"/>
      <c r="F87" s="32">
        <f t="shared" si="1"/>
        <v>61</v>
      </c>
      <c r="G87" s="3" t="s">
        <v>45</v>
      </c>
      <c r="H87" s="12">
        <v>43525</v>
      </c>
      <c r="I87" s="12">
        <v>43889</v>
      </c>
      <c r="J87" s="373"/>
      <c r="K87" s="49"/>
      <c r="L87" s="49"/>
      <c r="M87" s="50"/>
      <c r="N87" s="50"/>
      <c r="O87" s="50"/>
      <c r="P87" s="40"/>
      <c r="Q87" s="40"/>
      <c r="R87" s="40"/>
      <c r="S87" s="51"/>
      <c r="T87" s="51"/>
      <c r="U87" s="51"/>
      <c r="V87" s="49"/>
    </row>
    <row r="88" spans="1:22" ht="18">
      <c r="A88" s="388" t="s">
        <v>37</v>
      </c>
      <c r="B88" s="371" t="s">
        <v>352</v>
      </c>
      <c r="C88" s="371" t="s">
        <v>63</v>
      </c>
      <c r="D88" s="371" t="s">
        <v>64</v>
      </c>
      <c r="E88" s="54"/>
      <c r="F88" s="32">
        <f t="shared" si="1"/>
        <v>61</v>
      </c>
      <c r="G88" s="3" t="s">
        <v>192</v>
      </c>
      <c r="H88" s="3"/>
      <c r="I88" s="3"/>
      <c r="J88" s="371"/>
      <c r="K88" s="48"/>
      <c r="L88" s="41" t="s">
        <v>318</v>
      </c>
      <c r="M88" s="41"/>
      <c r="N88" s="41"/>
      <c r="O88" s="42" t="s">
        <v>319</v>
      </c>
      <c r="P88" s="42"/>
      <c r="Q88" s="42"/>
      <c r="R88" s="43" t="s">
        <v>320</v>
      </c>
      <c r="S88" s="43"/>
      <c r="T88" s="43"/>
      <c r="U88" s="48" t="s">
        <v>320</v>
      </c>
      <c r="V88" s="48"/>
    </row>
    <row r="89" spans="1:22" ht="18">
      <c r="A89" s="389"/>
      <c r="B89" s="372"/>
      <c r="C89" s="372" t="s">
        <v>63</v>
      </c>
      <c r="D89" s="372" t="s">
        <v>64</v>
      </c>
      <c r="E89" s="54"/>
      <c r="F89" s="32">
        <f t="shared" si="1"/>
        <v>61</v>
      </c>
      <c r="G89" s="3" t="s">
        <v>44</v>
      </c>
      <c r="H89" s="12">
        <v>43342</v>
      </c>
      <c r="I89" s="12">
        <v>44802</v>
      </c>
      <c r="J89" s="372"/>
      <c r="K89" s="44"/>
      <c r="L89" s="44" t="s">
        <v>317</v>
      </c>
      <c r="M89" s="45"/>
      <c r="N89" s="45"/>
      <c r="O89" s="45" t="s">
        <v>317</v>
      </c>
      <c r="P89" s="46"/>
      <c r="Q89" s="46"/>
      <c r="R89" s="46" t="s">
        <v>317</v>
      </c>
      <c r="S89" s="47"/>
      <c r="T89" s="47"/>
      <c r="U89" s="47" t="s">
        <v>317</v>
      </c>
      <c r="V89" s="44"/>
    </row>
    <row r="90" spans="1:22" ht="18">
      <c r="A90" s="389"/>
      <c r="B90" s="372"/>
      <c r="C90" s="372" t="s">
        <v>63</v>
      </c>
      <c r="D90" s="372" t="s">
        <v>64</v>
      </c>
      <c r="E90" s="54"/>
      <c r="F90" s="32">
        <f t="shared" si="1"/>
        <v>61</v>
      </c>
      <c r="G90" s="3" t="s">
        <v>43</v>
      </c>
      <c r="H90" s="9">
        <v>42770</v>
      </c>
      <c r="I90" s="9">
        <v>44230</v>
      </c>
      <c r="J90" s="372"/>
      <c r="K90" s="48"/>
      <c r="L90" s="41" t="s">
        <v>318</v>
      </c>
      <c r="M90" s="41"/>
      <c r="N90" s="41"/>
      <c r="O90" s="42" t="s">
        <v>319</v>
      </c>
      <c r="P90" s="42"/>
      <c r="Q90" s="42"/>
      <c r="R90" s="43" t="s">
        <v>320</v>
      </c>
      <c r="S90" s="43"/>
      <c r="T90" s="43"/>
      <c r="U90" s="48" t="s">
        <v>320</v>
      </c>
      <c r="V90" s="48"/>
    </row>
    <row r="91" spans="1:22" ht="18">
      <c r="A91" s="390"/>
      <c r="B91" s="373"/>
      <c r="C91" s="373" t="s">
        <v>63</v>
      </c>
      <c r="D91" s="373" t="s">
        <v>64</v>
      </c>
      <c r="E91" s="54"/>
      <c r="F91" s="32">
        <f t="shared" si="1"/>
        <v>61</v>
      </c>
      <c r="G91" s="3" t="s">
        <v>45</v>
      </c>
      <c r="H91" s="12">
        <v>43525</v>
      </c>
      <c r="I91" s="12">
        <v>43889</v>
      </c>
      <c r="J91" s="373"/>
      <c r="K91" s="49"/>
      <c r="L91" s="49"/>
      <c r="M91" s="50"/>
      <c r="N91" s="50"/>
      <c r="O91" s="50"/>
      <c r="P91" s="40"/>
      <c r="Q91" s="40"/>
      <c r="R91" s="40"/>
      <c r="S91" s="51"/>
      <c r="T91" s="51"/>
      <c r="U91" s="51"/>
      <c r="V91" s="49"/>
    </row>
    <row r="92" spans="1:22" s="87" customFormat="1" ht="18">
      <c r="A92" s="27" t="s">
        <v>58</v>
      </c>
      <c r="B92" s="27" t="s">
        <v>78</v>
      </c>
      <c r="C92" s="27" t="s">
        <v>63</v>
      </c>
      <c r="D92" s="27" t="s">
        <v>64</v>
      </c>
      <c r="E92" s="89">
        <v>44631</v>
      </c>
      <c r="F92" s="84">
        <f t="shared" si="1"/>
        <v>44692</v>
      </c>
      <c r="G92" s="27" t="s">
        <v>60</v>
      </c>
      <c r="H92" s="90">
        <v>43987</v>
      </c>
      <c r="I92" s="90">
        <v>44716</v>
      </c>
      <c r="J92" s="27"/>
      <c r="K92" s="86"/>
      <c r="L92" s="86"/>
      <c r="M92" s="86" t="s">
        <v>321</v>
      </c>
      <c r="N92" s="86"/>
      <c r="O92" s="86"/>
      <c r="P92" s="86" t="s">
        <v>321</v>
      </c>
      <c r="Q92" s="86"/>
      <c r="R92" s="86"/>
      <c r="S92" s="86" t="s">
        <v>321</v>
      </c>
      <c r="T92" s="86"/>
      <c r="U92" s="86"/>
      <c r="V92" s="86" t="s">
        <v>321</v>
      </c>
    </row>
    <row r="93" spans="1:22" s="87" customFormat="1" ht="18">
      <c r="A93" s="27" t="s">
        <v>58</v>
      </c>
      <c r="B93" s="27" t="s">
        <v>83</v>
      </c>
      <c r="C93" s="27" t="s">
        <v>63</v>
      </c>
      <c r="D93" s="27" t="s">
        <v>64</v>
      </c>
      <c r="E93" s="89">
        <v>44631</v>
      </c>
      <c r="F93" s="84">
        <f t="shared" si="1"/>
        <v>44692</v>
      </c>
      <c r="G93" s="27" t="s">
        <v>60</v>
      </c>
      <c r="H93" s="90">
        <v>43987</v>
      </c>
      <c r="I93" s="90">
        <v>44716</v>
      </c>
      <c r="J93" s="27"/>
      <c r="K93" s="86"/>
      <c r="L93" s="86"/>
      <c r="M93" s="86" t="s">
        <v>321</v>
      </c>
      <c r="N93" s="86"/>
      <c r="O93" s="86"/>
      <c r="P93" s="86" t="s">
        <v>321</v>
      </c>
      <c r="Q93" s="86"/>
      <c r="R93" s="86"/>
      <c r="S93" s="86" t="s">
        <v>321</v>
      </c>
      <c r="T93" s="86"/>
      <c r="U93" s="86"/>
      <c r="V93" s="86" t="s">
        <v>321</v>
      </c>
    </row>
    <row r="94" spans="1:22" s="87" customFormat="1" ht="18">
      <c r="A94" s="27" t="s">
        <v>58</v>
      </c>
      <c r="B94" s="27" t="s">
        <v>93</v>
      </c>
      <c r="C94" s="27" t="s">
        <v>63</v>
      </c>
      <c r="D94" s="27" t="s">
        <v>64</v>
      </c>
      <c r="E94" s="89">
        <v>44631</v>
      </c>
      <c r="F94" s="84">
        <f t="shared" si="1"/>
        <v>44692</v>
      </c>
      <c r="G94" s="27" t="s">
        <v>60</v>
      </c>
      <c r="H94" s="90">
        <v>43987</v>
      </c>
      <c r="I94" s="90">
        <v>44716</v>
      </c>
      <c r="J94" s="27"/>
      <c r="K94" s="86"/>
      <c r="L94" s="86"/>
      <c r="M94" s="86" t="s">
        <v>321</v>
      </c>
      <c r="N94" s="86"/>
      <c r="O94" s="86"/>
      <c r="P94" s="86" t="s">
        <v>321</v>
      </c>
      <c r="Q94" s="86"/>
      <c r="R94" s="86"/>
      <c r="S94" s="86" t="s">
        <v>321</v>
      </c>
      <c r="T94" s="86"/>
      <c r="U94" s="86"/>
      <c r="V94" s="86" t="s">
        <v>321</v>
      </c>
    </row>
    <row r="95" spans="1:22" s="87" customFormat="1" ht="18">
      <c r="A95" s="27" t="s">
        <v>58</v>
      </c>
      <c r="B95" s="27" t="s">
        <v>94</v>
      </c>
      <c r="C95" s="27" t="s">
        <v>63</v>
      </c>
      <c r="D95" s="27" t="s">
        <v>64</v>
      </c>
      <c r="E95" s="89">
        <v>44631</v>
      </c>
      <c r="F95" s="84">
        <f t="shared" si="1"/>
        <v>44692</v>
      </c>
      <c r="G95" s="27" t="s">
        <v>60</v>
      </c>
      <c r="H95" s="90">
        <v>43987</v>
      </c>
      <c r="I95" s="90">
        <v>44716</v>
      </c>
      <c r="J95" s="27"/>
      <c r="K95" s="86"/>
      <c r="L95" s="86"/>
      <c r="M95" s="86" t="s">
        <v>321</v>
      </c>
      <c r="N95" s="86"/>
      <c r="O95" s="86"/>
      <c r="P95" s="86" t="s">
        <v>321</v>
      </c>
      <c r="Q95" s="86"/>
      <c r="R95" s="86"/>
      <c r="S95" s="86" t="s">
        <v>321</v>
      </c>
      <c r="T95" s="86"/>
      <c r="U95" s="86"/>
      <c r="V95" s="86" t="s">
        <v>321</v>
      </c>
    </row>
    <row r="96" spans="1:22" s="87" customFormat="1" ht="18">
      <c r="A96" s="27" t="s">
        <v>58</v>
      </c>
      <c r="B96" s="27" t="s">
        <v>95</v>
      </c>
      <c r="C96" s="27" t="s">
        <v>63</v>
      </c>
      <c r="D96" s="27" t="s">
        <v>64</v>
      </c>
      <c r="E96" s="89">
        <v>44631</v>
      </c>
      <c r="F96" s="84">
        <f t="shared" si="1"/>
        <v>44692</v>
      </c>
      <c r="G96" s="27" t="s">
        <v>60</v>
      </c>
      <c r="H96" s="90">
        <v>43987</v>
      </c>
      <c r="I96" s="90">
        <v>44716</v>
      </c>
      <c r="J96" s="27"/>
      <c r="K96" s="86"/>
      <c r="L96" s="86"/>
      <c r="M96" s="86" t="s">
        <v>321</v>
      </c>
      <c r="N96" s="86"/>
      <c r="O96" s="86"/>
      <c r="P96" s="86" t="s">
        <v>321</v>
      </c>
      <c r="Q96" s="86"/>
      <c r="R96" s="86"/>
      <c r="S96" s="86" t="s">
        <v>321</v>
      </c>
      <c r="T96" s="86"/>
      <c r="U96" s="86"/>
      <c r="V96" s="86" t="s">
        <v>321</v>
      </c>
    </row>
    <row r="97" spans="1:22" s="87" customFormat="1" ht="18">
      <c r="A97" s="27" t="s">
        <v>58</v>
      </c>
      <c r="B97" s="27" t="s">
        <v>84</v>
      </c>
      <c r="C97" s="27" t="s">
        <v>63</v>
      </c>
      <c r="D97" s="27" t="s">
        <v>64</v>
      </c>
      <c r="E97" s="89">
        <v>44631</v>
      </c>
      <c r="F97" s="84">
        <f t="shared" si="1"/>
        <v>44692</v>
      </c>
      <c r="G97" s="27" t="s">
        <v>60</v>
      </c>
      <c r="H97" s="90">
        <v>43987</v>
      </c>
      <c r="I97" s="90">
        <v>44716</v>
      </c>
      <c r="J97" s="27"/>
      <c r="K97" s="86"/>
      <c r="L97" s="86"/>
      <c r="M97" s="86" t="s">
        <v>321</v>
      </c>
      <c r="N97" s="86"/>
      <c r="O97" s="86"/>
      <c r="P97" s="86" t="s">
        <v>321</v>
      </c>
      <c r="Q97" s="86"/>
      <c r="R97" s="86"/>
      <c r="S97" s="86" t="s">
        <v>321</v>
      </c>
      <c r="T97" s="86"/>
      <c r="U97" s="86"/>
      <c r="V97" s="86" t="s">
        <v>321</v>
      </c>
    </row>
    <row r="98" spans="1:22" s="87" customFormat="1" ht="18">
      <c r="A98" s="27" t="s">
        <v>58</v>
      </c>
      <c r="B98" s="27" t="s">
        <v>96</v>
      </c>
      <c r="C98" s="27" t="s">
        <v>63</v>
      </c>
      <c r="D98" s="27" t="s">
        <v>64</v>
      </c>
      <c r="E98" s="89">
        <v>44631</v>
      </c>
      <c r="F98" s="84">
        <f t="shared" si="1"/>
        <v>44692</v>
      </c>
      <c r="G98" s="27" t="s">
        <v>60</v>
      </c>
      <c r="H98" s="90">
        <v>43987</v>
      </c>
      <c r="I98" s="90">
        <v>44716</v>
      </c>
      <c r="J98" s="27"/>
      <c r="K98" s="86"/>
      <c r="L98" s="86"/>
      <c r="M98" s="86" t="s">
        <v>321</v>
      </c>
      <c r="N98" s="86"/>
      <c r="O98" s="86"/>
      <c r="P98" s="86" t="s">
        <v>321</v>
      </c>
      <c r="Q98" s="86"/>
      <c r="R98" s="86"/>
      <c r="S98" s="86" t="s">
        <v>321</v>
      </c>
      <c r="T98" s="86"/>
      <c r="U98" s="86"/>
      <c r="V98" s="86" t="s">
        <v>321</v>
      </c>
    </row>
  </sheetData>
  <autoFilter ref="B1:J98" xr:uid="{00000000-0009-0000-0000-000003000000}"/>
  <mergeCells count="85">
    <mergeCell ref="A84:A87"/>
    <mergeCell ref="A88:A91"/>
    <mergeCell ref="A57:A60"/>
    <mergeCell ref="A61:A64"/>
    <mergeCell ref="A65:A68"/>
    <mergeCell ref="A69:A72"/>
    <mergeCell ref="A73:A75"/>
    <mergeCell ref="A45:A48"/>
    <mergeCell ref="A49:A52"/>
    <mergeCell ref="A53:A56"/>
    <mergeCell ref="A76:A79"/>
    <mergeCell ref="A80:A83"/>
    <mergeCell ref="A2:A3"/>
    <mergeCell ref="A4:A5"/>
    <mergeCell ref="A6:A7"/>
    <mergeCell ref="A16:A17"/>
    <mergeCell ref="A24:A29"/>
    <mergeCell ref="B88:B91"/>
    <mergeCell ref="D88:D91"/>
    <mergeCell ref="B73:B75"/>
    <mergeCell ref="B76:B79"/>
    <mergeCell ref="B80:B83"/>
    <mergeCell ref="B84:B87"/>
    <mergeCell ref="C88:C91"/>
    <mergeCell ref="C73:C75"/>
    <mergeCell ref="C76:C79"/>
    <mergeCell ref="C80:C83"/>
    <mergeCell ref="C84:C87"/>
    <mergeCell ref="D76:D79"/>
    <mergeCell ref="D80:D83"/>
    <mergeCell ref="D84:D87"/>
    <mergeCell ref="D73:D75"/>
    <mergeCell ref="B53:B56"/>
    <mergeCell ref="D57:D60"/>
    <mergeCell ref="D61:D64"/>
    <mergeCell ref="D65:D68"/>
    <mergeCell ref="D53:D56"/>
    <mergeCell ref="B57:B60"/>
    <mergeCell ref="C53:C56"/>
    <mergeCell ref="B69:B72"/>
    <mergeCell ref="C57:C60"/>
    <mergeCell ref="C61:C64"/>
    <mergeCell ref="D69:D72"/>
    <mergeCell ref="C65:C68"/>
    <mergeCell ref="C69:C72"/>
    <mergeCell ref="B65:B68"/>
    <mergeCell ref="B61:B64"/>
    <mergeCell ref="D49:D52"/>
    <mergeCell ref="C45:C48"/>
    <mergeCell ref="C49:C52"/>
    <mergeCell ref="B49:B52"/>
    <mergeCell ref="D16:D17"/>
    <mergeCell ref="B16:B17"/>
    <mergeCell ref="C16:C17"/>
    <mergeCell ref="B2:B3"/>
    <mergeCell ref="B4:B5"/>
    <mergeCell ref="B6:B7"/>
    <mergeCell ref="D24:D29"/>
    <mergeCell ref="B45:B48"/>
    <mergeCell ref="D45:D48"/>
    <mergeCell ref="B24:B29"/>
    <mergeCell ref="C24:C29"/>
    <mergeCell ref="C4:C5"/>
    <mergeCell ref="C2:C3"/>
    <mergeCell ref="C6:C7"/>
    <mergeCell ref="J6:J7"/>
    <mergeCell ref="J16:J17"/>
    <mergeCell ref="J24:J29"/>
    <mergeCell ref="D2:D3"/>
    <mergeCell ref="D4:D5"/>
    <mergeCell ref="D6:D7"/>
    <mergeCell ref="J2:J3"/>
    <mergeCell ref="J4:J5"/>
    <mergeCell ref="J84:J87"/>
    <mergeCell ref="J88:J91"/>
    <mergeCell ref="J65:J68"/>
    <mergeCell ref="J69:J72"/>
    <mergeCell ref="J73:J75"/>
    <mergeCell ref="J76:J79"/>
    <mergeCell ref="J80:J83"/>
    <mergeCell ref="J45:J49"/>
    <mergeCell ref="J50:J52"/>
    <mergeCell ref="J53:J56"/>
    <mergeCell ref="J57:J60"/>
    <mergeCell ref="J61:J64"/>
  </mergeCells>
  <phoneticPr fontId="1" type="noConversion"/>
  <conditionalFormatting sqref="E2:E23">
    <cfRule type="expression" dxfId="16" priority="3">
      <formula>(E2-#REF!)&lt;61</formula>
    </cfRule>
  </conditionalFormatting>
  <conditionalFormatting sqref="F2:F98">
    <cfRule type="expression" dxfId="15" priority="68">
      <formula>(F2-E2)&lt;61</formula>
    </cfRule>
  </conditionalFormatting>
  <conditionalFormatting sqref="M92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{F7AEEFBB-F699-4692-824B-D2E2D106D98F}</x14:id>
        </ext>
      </extLst>
    </cfRule>
    <cfRule type="colorScale" priority="36">
      <colorScale>
        <cfvo type="num" val="0"/>
        <cfvo type="num" val="0"/>
        <color rgb="FFFF7128"/>
        <color rgb="FFFFEF9C"/>
      </colorScale>
    </cfRule>
  </conditionalFormatting>
  <dataValidations count="1">
    <dataValidation type="list" allowBlank="1" showInputMessage="1" showErrorMessage="1" sqref="B99 A49 A53:A57 A61 A65 A69 A73 A76 A80 A84 A88 A92:A98 A2:A45" xr:uid="{41F9AAA0-AC88-FB4F-BBDC-08B711D5E973}">
      <formula1>"POST,HNCB,FCB,BOT,NET"</formula1>
    </dataValidation>
  </dataValidations>
  <pageMargins left="0.7" right="0.7" top="0.75" bottom="0.75" header="0.3" footer="0.3"/>
  <pageSetup paperSize="9" scale="88" orientation="portrait" r:id="rId1"/>
  <rowBreaks count="2" manualBreakCount="2">
    <brk id="41" max="21" man="1"/>
    <brk id="91" max="16383" ma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7AEEFBB-F699-4692-824B-D2E2D106D9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M92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72060-9035-44A7-8374-BB114B300BD3}">
  <sheetPr>
    <tabColor theme="9"/>
  </sheetPr>
  <dimension ref="A1:R35"/>
  <sheetViews>
    <sheetView zoomScale="85" zoomScaleNormal="85" workbookViewId="0">
      <selection activeCell="K9" sqref="K9"/>
    </sheetView>
  </sheetViews>
  <sheetFormatPr defaultRowHeight="17"/>
  <cols>
    <col min="1" max="1" width="8.7265625" style="345"/>
    <col min="2" max="2" width="17.26953125" bestFit="1" customWidth="1"/>
    <col min="3" max="3" width="15.08984375" bestFit="1" customWidth="1"/>
    <col min="4" max="5" width="17.26953125" customWidth="1"/>
  </cols>
  <sheetData>
    <row r="1" spans="1:18" ht="18">
      <c r="B1" s="296" t="s">
        <v>489</v>
      </c>
      <c r="C1" s="296" t="s">
        <v>4</v>
      </c>
      <c r="D1" s="297" t="s">
        <v>490</v>
      </c>
      <c r="E1" s="297" t="s">
        <v>333</v>
      </c>
      <c r="F1" s="296" t="s">
        <v>517</v>
      </c>
      <c r="G1" s="298" t="s">
        <v>306</v>
      </c>
      <c r="H1" s="296" t="s">
        <v>307</v>
      </c>
      <c r="I1" s="296" t="s">
        <v>308</v>
      </c>
      <c r="J1" s="296" t="s">
        <v>309</v>
      </c>
      <c r="K1" s="296" t="s">
        <v>310</v>
      </c>
      <c r="L1" s="296" t="s">
        <v>311</v>
      </c>
      <c r="M1" s="296" t="s">
        <v>312</v>
      </c>
      <c r="N1" s="296" t="s">
        <v>313</v>
      </c>
      <c r="O1" s="296" t="s">
        <v>314</v>
      </c>
      <c r="P1" s="296" t="s">
        <v>315</v>
      </c>
      <c r="Q1" s="299" t="s">
        <v>316</v>
      </c>
      <c r="R1" s="296" t="s">
        <v>7</v>
      </c>
    </row>
    <row r="2" spans="1:18" ht="18">
      <c r="A2" s="391" t="s">
        <v>162</v>
      </c>
      <c r="B2" s="400" t="s">
        <v>252</v>
      </c>
      <c r="C2" s="300" t="s">
        <v>492</v>
      </c>
      <c r="D2" s="302">
        <v>45702</v>
      </c>
      <c r="E2" s="316">
        <f>D2+61</f>
        <v>45763</v>
      </c>
      <c r="F2" s="303"/>
      <c r="G2" s="304"/>
      <c r="H2" s="304"/>
      <c r="I2" s="305"/>
      <c r="J2" s="306" t="s">
        <v>335</v>
      </c>
      <c r="K2" s="306"/>
      <c r="L2" s="307"/>
      <c r="M2" s="308" t="s">
        <v>334</v>
      </c>
      <c r="N2" s="309"/>
      <c r="O2" s="310"/>
      <c r="P2" s="311"/>
      <c r="Q2" s="312"/>
      <c r="R2" s="7"/>
    </row>
    <row r="3" spans="1:18" ht="18">
      <c r="A3" s="392"/>
      <c r="B3" s="401"/>
      <c r="C3" s="300" t="s">
        <v>147</v>
      </c>
      <c r="D3" s="302">
        <v>45702</v>
      </c>
      <c r="E3" s="316">
        <f t="shared" ref="E3:E14" si="0">D3+61</f>
        <v>45763</v>
      </c>
      <c r="F3" s="243"/>
      <c r="G3" s="244"/>
      <c r="H3" s="244"/>
      <c r="I3" s="244"/>
      <c r="J3" s="245" t="s">
        <v>334</v>
      </c>
      <c r="K3" s="245"/>
      <c r="L3" s="245"/>
      <c r="M3" s="246" t="s">
        <v>334</v>
      </c>
      <c r="N3" s="246"/>
      <c r="O3" s="246"/>
      <c r="P3" s="243"/>
      <c r="Q3" s="243"/>
      <c r="R3" s="213"/>
    </row>
    <row r="4" spans="1:18" ht="18">
      <c r="A4" s="391" t="s">
        <v>162</v>
      </c>
      <c r="B4" s="400" t="s">
        <v>254</v>
      </c>
      <c r="C4" s="300" t="s">
        <v>147</v>
      </c>
      <c r="D4" s="302">
        <v>45702</v>
      </c>
      <c r="E4" s="316">
        <f t="shared" si="0"/>
        <v>45763</v>
      </c>
      <c r="F4" s="243"/>
      <c r="G4" s="244"/>
      <c r="H4" s="244"/>
      <c r="I4" s="244"/>
      <c r="J4" s="245" t="s">
        <v>334</v>
      </c>
      <c r="K4" s="245"/>
      <c r="L4" s="245"/>
      <c r="M4" s="246" t="s">
        <v>334</v>
      </c>
      <c r="N4" s="246"/>
      <c r="O4" s="246"/>
      <c r="P4" s="243"/>
      <c r="Q4" s="243"/>
      <c r="R4" s="7"/>
    </row>
    <row r="5" spans="1:18" ht="18">
      <c r="A5" s="392"/>
      <c r="B5" s="401"/>
      <c r="C5" s="300" t="s">
        <v>354</v>
      </c>
      <c r="D5" s="302">
        <v>45702</v>
      </c>
      <c r="E5" s="316">
        <f t="shared" si="0"/>
        <v>45763</v>
      </c>
      <c r="F5" s="243"/>
      <c r="G5" s="244"/>
      <c r="H5" s="244"/>
      <c r="I5" s="244"/>
      <c r="J5" s="245" t="s">
        <v>334</v>
      </c>
      <c r="K5" s="245"/>
      <c r="L5" s="245"/>
      <c r="M5" s="246" t="s">
        <v>334</v>
      </c>
      <c r="N5" s="246"/>
      <c r="O5" s="246"/>
      <c r="P5" s="243"/>
      <c r="Q5" s="243"/>
      <c r="R5" s="7"/>
    </row>
    <row r="6" spans="1:18" ht="18">
      <c r="A6" s="346" t="s">
        <v>162</v>
      </c>
      <c r="B6" s="350" t="s">
        <v>255</v>
      </c>
      <c r="C6" s="300" t="s">
        <v>354</v>
      </c>
      <c r="D6" s="302">
        <v>45702</v>
      </c>
      <c r="E6" s="316">
        <f t="shared" si="0"/>
        <v>45763</v>
      </c>
      <c r="F6" s="243"/>
      <c r="G6" s="244"/>
      <c r="H6" s="244"/>
      <c r="I6" s="244"/>
      <c r="J6" s="245" t="s">
        <v>334</v>
      </c>
      <c r="K6" s="245"/>
      <c r="L6" s="245"/>
      <c r="M6" s="246" t="s">
        <v>334</v>
      </c>
      <c r="N6" s="246"/>
      <c r="O6" s="246"/>
      <c r="P6" s="243"/>
      <c r="Q6" s="243"/>
      <c r="R6" s="7"/>
    </row>
    <row r="7" spans="1:18" ht="18">
      <c r="A7" s="391" t="s">
        <v>162</v>
      </c>
      <c r="B7" s="400" t="s">
        <v>256</v>
      </c>
      <c r="C7" s="300" t="s">
        <v>147</v>
      </c>
      <c r="D7" s="302">
        <v>45702</v>
      </c>
      <c r="E7" s="316">
        <f t="shared" si="0"/>
        <v>45763</v>
      </c>
      <c r="F7" s="243"/>
      <c r="G7" s="244"/>
      <c r="H7" s="244"/>
      <c r="I7" s="244"/>
      <c r="J7" s="245" t="s">
        <v>334</v>
      </c>
      <c r="K7" s="245"/>
      <c r="L7" s="245"/>
      <c r="M7" s="246" t="s">
        <v>334</v>
      </c>
      <c r="N7" s="246"/>
      <c r="O7" s="246"/>
      <c r="P7" s="243"/>
      <c r="Q7" s="243"/>
      <c r="R7" s="7"/>
    </row>
    <row r="8" spans="1:18" ht="18">
      <c r="A8" s="392"/>
      <c r="B8" s="401"/>
      <c r="C8" s="300" t="s">
        <v>354</v>
      </c>
      <c r="D8" s="302">
        <v>45702</v>
      </c>
      <c r="E8" s="316">
        <f t="shared" si="0"/>
        <v>45763</v>
      </c>
      <c r="F8" s="243"/>
      <c r="G8" s="244"/>
      <c r="H8" s="244"/>
      <c r="I8" s="244"/>
      <c r="J8" s="245" t="s">
        <v>334</v>
      </c>
      <c r="K8" s="245"/>
      <c r="L8" s="245"/>
      <c r="M8" s="246" t="s">
        <v>334</v>
      </c>
      <c r="N8" s="246"/>
      <c r="O8" s="246"/>
      <c r="P8" s="243"/>
      <c r="Q8" s="243"/>
      <c r="R8" s="7"/>
    </row>
    <row r="9" spans="1:18" ht="18">
      <c r="A9" s="391" t="s">
        <v>162</v>
      </c>
      <c r="B9" s="400" t="s">
        <v>257</v>
      </c>
      <c r="C9" s="300" t="s">
        <v>147</v>
      </c>
      <c r="D9" s="302">
        <v>45702</v>
      </c>
      <c r="E9" s="316">
        <f t="shared" si="0"/>
        <v>45763</v>
      </c>
      <c r="F9" s="243"/>
      <c r="G9" s="244"/>
      <c r="H9" s="244"/>
      <c r="I9" s="244"/>
      <c r="J9" s="245" t="s">
        <v>334</v>
      </c>
      <c r="K9" s="245"/>
      <c r="L9" s="245"/>
      <c r="M9" s="246" t="s">
        <v>334</v>
      </c>
      <c r="N9" s="246"/>
      <c r="O9" s="246"/>
      <c r="P9" s="243"/>
      <c r="Q9" s="243"/>
      <c r="R9" s="7"/>
    </row>
    <row r="10" spans="1:18" ht="18">
      <c r="A10" s="392"/>
      <c r="B10" s="401"/>
      <c r="C10" s="300" t="s">
        <v>354</v>
      </c>
      <c r="D10" s="302">
        <v>45702</v>
      </c>
      <c r="E10" s="316">
        <f t="shared" si="0"/>
        <v>45763</v>
      </c>
      <c r="F10" s="243"/>
      <c r="G10" s="244"/>
      <c r="H10" s="244"/>
      <c r="I10" s="244"/>
      <c r="J10" s="245" t="s">
        <v>334</v>
      </c>
      <c r="K10" s="245"/>
      <c r="L10" s="245"/>
      <c r="M10" s="246" t="s">
        <v>334</v>
      </c>
      <c r="N10" s="246"/>
      <c r="O10" s="246"/>
      <c r="P10" s="243"/>
      <c r="Q10" s="243"/>
      <c r="R10" s="301"/>
    </row>
    <row r="11" spans="1:18" ht="18">
      <c r="A11" s="391" t="s">
        <v>162</v>
      </c>
      <c r="B11" s="400" t="s">
        <v>258</v>
      </c>
      <c r="C11" s="300" t="s">
        <v>147</v>
      </c>
      <c r="D11" s="302">
        <v>45702</v>
      </c>
      <c r="E11" s="316">
        <f t="shared" si="0"/>
        <v>45763</v>
      </c>
      <c r="F11" s="243"/>
      <c r="G11" s="244"/>
      <c r="H11" s="244"/>
      <c r="I11" s="244"/>
      <c r="J11" s="245" t="s">
        <v>334</v>
      </c>
      <c r="K11" s="245"/>
      <c r="L11" s="245"/>
      <c r="M11" s="246" t="s">
        <v>334</v>
      </c>
      <c r="N11" s="246"/>
      <c r="O11" s="246"/>
      <c r="P11" s="243"/>
      <c r="Q11" s="243"/>
      <c r="R11" s="314"/>
    </row>
    <row r="12" spans="1:18" ht="18">
      <c r="A12" s="392"/>
      <c r="B12" s="401"/>
      <c r="C12" s="300" t="s">
        <v>354</v>
      </c>
      <c r="D12" s="302">
        <v>45702</v>
      </c>
      <c r="E12" s="316">
        <f t="shared" si="0"/>
        <v>45763</v>
      </c>
      <c r="F12" s="243"/>
      <c r="G12" s="244"/>
      <c r="H12" s="244"/>
      <c r="I12" s="244"/>
      <c r="J12" s="245" t="s">
        <v>334</v>
      </c>
      <c r="K12" s="245"/>
      <c r="L12" s="245"/>
      <c r="M12" s="246" t="s">
        <v>334</v>
      </c>
      <c r="N12" s="246"/>
      <c r="O12" s="246"/>
      <c r="P12" s="243"/>
      <c r="Q12" s="243"/>
      <c r="R12" s="315" t="s">
        <v>7</v>
      </c>
    </row>
    <row r="13" spans="1:18" ht="18">
      <c r="A13" s="346" t="s">
        <v>162</v>
      </c>
      <c r="B13" s="350" t="s">
        <v>259</v>
      </c>
      <c r="C13" s="300" t="s">
        <v>354</v>
      </c>
      <c r="D13" s="302">
        <v>45702</v>
      </c>
      <c r="E13" s="316">
        <f t="shared" si="0"/>
        <v>45763</v>
      </c>
      <c r="F13" s="243"/>
      <c r="G13" s="244"/>
      <c r="H13" s="244"/>
      <c r="I13" s="244"/>
      <c r="J13" s="245" t="s">
        <v>334</v>
      </c>
      <c r="K13" s="245"/>
      <c r="L13" s="245"/>
      <c r="M13" s="246" t="s">
        <v>334</v>
      </c>
      <c r="N13" s="246"/>
      <c r="O13" s="246"/>
      <c r="P13" s="243"/>
      <c r="Q13" s="243"/>
      <c r="R13" s="7"/>
    </row>
    <row r="14" spans="1:18" ht="18">
      <c r="A14" s="346" t="s">
        <v>162</v>
      </c>
      <c r="B14" s="350" t="s">
        <v>260</v>
      </c>
      <c r="C14" s="300" t="s">
        <v>354</v>
      </c>
      <c r="D14" s="302">
        <v>45702</v>
      </c>
      <c r="E14" s="316">
        <f t="shared" si="0"/>
        <v>45763</v>
      </c>
      <c r="F14" s="243"/>
      <c r="G14" s="244"/>
      <c r="H14" s="244"/>
      <c r="I14" s="244"/>
      <c r="J14" s="245" t="s">
        <v>334</v>
      </c>
      <c r="K14" s="245"/>
      <c r="L14" s="245"/>
      <c r="M14" s="246" t="s">
        <v>334</v>
      </c>
      <c r="N14" s="246"/>
      <c r="O14" s="246"/>
      <c r="P14" s="243"/>
      <c r="Q14" s="243"/>
      <c r="R14" s="7"/>
    </row>
    <row r="15" spans="1:18" ht="18">
      <c r="A15" s="347" t="s">
        <v>180</v>
      </c>
      <c r="B15" s="324" t="s">
        <v>261</v>
      </c>
      <c r="C15" s="300" t="s">
        <v>518</v>
      </c>
      <c r="D15" s="302">
        <v>45247</v>
      </c>
      <c r="E15" s="302">
        <v>45355</v>
      </c>
      <c r="F15" s="317"/>
      <c r="G15" s="317"/>
      <c r="H15" s="317"/>
      <c r="I15" s="318"/>
      <c r="J15" s="318"/>
      <c r="K15" s="318"/>
      <c r="L15" s="319"/>
      <c r="M15" s="319"/>
      <c r="N15" s="319"/>
      <c r="O15" s="320"/>
      <c r="P15" s="321"/>
      <c r="Q15" s="320"/>
      <c r="R15" s="7"/>
    </row>
    <row r="16" spans="1:18" ht="18">
      <c r="A16" s="347" t="s">
        <v>180</v>
      </c>
      <c r="B16" s="325" t="s">
        <v>271</v>
      </c>
      <c r="C16" s="300" t="s">
        <v>493</v>
      </c>
      <c r="D16" s="302">
        <v>45247</v>
      </c>
      <c r="E16" s="302">
        <v>45355</v>
      </c>
      <c r="F16" s="317"/>
      <c r="G16" s="317"/>
      <c r="H16" s="317"/>
      <c r="I16" s="318"/>
      <c r="J16" s="318"/>
      <c r="K16" s="318"/>
      <c r="L16" s="319"/>
      <c r="M16" s="319"/>
      <c r="N16" s="319"/>
      <c r="O16" s="320"/>
      <c r="P16" s="321"/>
      <c r="Q16" s="320"/>
      <c r="R16" s="322" t="s">
        <v>519</v>
      </c>
    </row>
    <row r="17" spans="1:18" ht="18">
      <c r="A17" s="347" t="s">
        <v>180</v>
      </c>
      <c r="B17" s="324" t="s">
        <v>262</v>
      </c>
      <c r="C17" s="300" t="s">
        <v>493</v>
      </c>
      <c r="D17" s="302">
        <v>45247</v>
      </c>
      <c r="E17" s="302">
        <v>45355</v>
      </c>
      <c r="F17" s="317"/>
      <c r="G17" s="317"/>
      <c r="H17" s="317"/>
      <c r="I17" s="318"/>
      <c r="J17" s="318"/>
      <c r="K17" s="318"/>
      <c r="L17" s="319"/>
      <c r="M17" s="319"/>
      <c r="N17" s="319"/>
      <c r="O17" s="320"/>
      <c r="P17" s="321"/>
      <c r="Q17" s="320"/>
      <c r="R17" s="7"/>
    </row>
    <row r="18" spans="1:18" ht="18">
      <c r="A18" s="347" t="s">
        <v>180</v>
      </c>
      <c r="B18" s="398" t="s">
        <v>263</v>
      </c>
      <c r="C18" s="300" t="s">
        <v>493</v>
      </c>
      <c r="D18" s="302">
        <v>45247</v>
      </c>
      <c r="E18" s="302">
        <v>45355</v>
      </c>
      <c r="F18" s="317"/>
      <c r="G18" s="317"/>
      <c r="H18" s="317"/>
      <c r="I18" s="318"/>
      <c r="J18" s="318"/>
      <c r="K18" s="318"/>
      <c r="L18" s="319"/>
      <c r="M18" s="319"/>
      <c r="N18" s="319"/>
      <c r="O18" s="320"/>
      <c r="P18" s="321"/>
      <c r="Q18" s="320"/>
      <c r="R18" s="7"/>
    </row>
    <row r="19" spans="1:18" ht="18">
      <c r="A19" s="347" t="s">
        <v>180</v>
      </c>
      <c r="B19" s="399"/>
      <c r="C19" s="300" t="s">
        <v>494</v>
      </c>
      <c r="D19" s="302">
        <v>45247</v>
      </c>
      <c r="E19" s="302">
        <v>45355</v>
      </c>
      <c r="F19" s="317"/>
      <c r="G19" s="317"/>
      <c r="H19" s="317"/>
      <c r="I19" s="318"/>
      <c r="J19" s="318"/>
      <c r="K19" s="318"/>
      <c r="L19" s="319"/>
      <c r="M19" s="319"/>
      <c r="N19" s="319"/>
      <c r="O19" s="320"/>
      <c r="P19" s="321"/>
      <c r="Q19" s="320"/>
      <c r="R19" s="323"/>
    </row>
    <row r="20" spans="1:18" ht="18">
      <c r="A20" s="397" t="s">
        <v>191</v>
      </c>
      <c r="B20" s="393" t="s">
        <v>523</v>
      </c>
      <c r="C20" s="313" t="s">
        <v>159</v>
      </c>
      <c r="D20" s="326">
        <v>45182</v>
      </c>
      <c r="E20" s="327">
        <v>45321</v>
      </c>
      <c r="F20" s="328"/>
      <c r="G20" s="328"/>
      <c r="H20" s="329"/>
      <c r="I20" s="329"/>
      <c r="J20" s="329"/>
      <c r="K20" s="330"/>
      <c r="L20" s="330"/>
      <c r="M20" s="330"/>
      <c r="N20" s="331"/>
      <c r="O20" s="331"/>
      <c r="P20" s="331"/>
      <c r="Q20" s="332"/>
      <c r="R20" s="322" t="s">
        <v>501</v>
      </c>
    </row>
    <row r="21" spans="1:18" ht="18">
      <c r="A21" s="397"/>
      <c r="B21" s="394"/>
      <c r="C21" s="313" t="s">
        <v>157</v>
      </c>
      <c r="D21" s="326">
        <v>45182</v>
      </c>
      <c r="E21" s="327">
        <v>45321</v>
      </c>
      <c r="F21" s="333"/>
      <c r="G21" s="334" t="s">
        <v>359</v>
      </c>
      <c r="H21" s="334"/>
      <c r="I21" s="334"/>
      <c r="J21" s="335" t="s">
        <v>360</v>
      </c>
      <c r="K21" s="335"/>
      <c r="L21" s="335"/>
      <c r="M21" s="336" t="s">
        <v>359</v>
      </c>
      <c r="N21" s="336"/>
      <c r="O21" s="336"/>
      <c r="P21" s="333" t="s">
        <v>359</v>
      </c>
      <c r="Q21" s="337"/>
      <c r="R21" s="338" t="s">
        <v>500</v>
      </c>
    </row>
    <row r="22" spans="1:18" ht="18">
      <c r="A22" s="397"/>
      <c r="B22" s="394"/>
      <c r="C22" s="313" t="s">
        <v>157</v>
      </c>
      <c r="D22" s="326">
        <v>45182</v>
      </c>
      <c r="E22" s="327">
        <v>45321</v>
      </c>
      <c r="F22" s="333"/>
      <c r="G22" s="334" t="s">
        <v>359</v>
      </c>
      <c r="H22" s="334"/>
      <c r="I22" s="334"/>
      <c r="J22" s="335" t="s">
        <v>360</v>
      </c>
      <c r="K22" s="335"/>
      <c r="L22" s="335"/>
      <c r="M22" s="336" t="s">
        <v>359</v>
      </c>
      <c r="N22" s="336"/>
      <c r="O22" s="336"/>
      <c r="P22" s="333" t="s">
        <v>359</v>
      </c>
      <c r="Q22" s="337"/>
      <c r="R22" s="338" t="s">
        <v>500</v>
      </c>
    </row>
    <row r="23" spans="1:18" ht="18">
      <c r="A23" s="397"/>
      <c r="B23" s="394"/>
      <c r="C23" s="313" t="s">
        <v>135</v>
      </c>
      <c r="D23" s="326">
        <v>45182</v>
      </c>
      <c r="E23" s="327">
        <v>45321</v>
      </c>
      <c r="F23" s="334"/>
      <c r="G23" s="334" t="s">
        <v>358</v>
      </c>
      <c r="H23" s="335"/>
      <c r="I23" s="335"/>
      <c r="J23" s="335" t="s">
        <v>358</v>
      </c>
      <c r="K23" s="336"/>
      <c r="L23" s="336"/>
      <c r="M23" s="336" t="s">
        <v>358</v>
      </c>
      <c r="N23" s="333"/>
      <c r="O23" s="333"/>
      <c r="P23" s="333" t="s">
        <v>358</v>
      </c>
      <c r="Q23" s="339"/>
      <c r="R23" s="338" t="s">
        <v>499</v>
      </c>
    </row>
    <row r="24" spans="1:18" ht="18">
      <c r="A24" s="397"/>
      <c r="B24" s="395"/>
      <c r="C24" s="313" t="s">
        <v>158</v>
      </c>
      <c r="D24" s="326">
        <v>45182</v>
      </c>
      <c r="E24" s="327">
        <v>45321</v>
      </c>
      <c r="F24" s="328"/>
      <c r="G24" s="328"/>
      <c r="H24" s="329"/>
      <c r="I24" s="329"/>
      <c r="J24" s="329"/>
      <c r="K24" s="330"/>
      <c r="L24" s="330"/>
      <c r="M24" s="330"/>
      <c r="N24" s="331"/>
      <c r="O24" s="331"/>
      <c r="P24" s="331"/>
      <c r="Q24" s="332"/>
      <c r="R24" s="338" t="s">
        <v>501</v>
      </c>
    </row>
    <row r="25" spans="1:18" ht="18">
      <c r="A25" s="397" t="s">
        <v>191</v>
      </c>
      <c r="B25" s="393" t="s">
        <v>265</v>
      </c>
      <c r="C25" s="313" t="s">
        <v>159</v>
      </c>
      <c r="D25" s="326">
        <v>45182</v>
      </c>
      <c r="E25" s="327">
        <v>45321</v>
      </c>
      <c r="F25" s="328"/>
      <c r="G25" s="328"/>
      <c r="H25" s="329"/>
      <c r="I25" s="329"/>
      <c r="J25" s="329"/>
      <c r="K25" s="330"/>
      <c r="L25" s="330"/>
      <c r="M25" s="330"/>
      <c r="N25" s="331"/>
      <c r="O25" s="331"/>
      <c r="P25" s="331"/>
      <c r="Q25" s="332"/>
      <c r="R25" s="322" t="s">
        <v>501</v>
      </c>
    </row>
    <row r="26" spans="1:18" ht="18">
      <c r="A26" s="397"/>
      <c r="B26" s="394"/>
      <c r="C26" s="313" t="s">
        <v>157</v>
      </c>
      <c r="D26" s="326">
        <v>45182</v>
      </c>
      <c r="E26" s="327">
        <v>45321</v>
      </c>
      <c r="F26" s="333"/>
      <c r="G26" s="334" t="s">
        <v>359</v>
      </c>
      <c r="H26" s="334"/>
      <c r="I26" s="334"/>
      <c r="J26" s="335" t="s">
        <v>360</v>
      </c>
      <c r="K26" s="335"/>
      <c r="L26" s="335"/>
      <c r="M26" s="336" t="s">
        <v>359</v>
      </c>
      <c r="N26" s="336"/>
      <c r="O26" s="336"/>
      <c r="P26" s="333" t="s">
        <v>359</v>
      </c>
      <c r="Q26" s="337"/>
      <c r="R26" s="338" t="s">
        <v>500</v>
      </c>
    </row>
    <row r="27" spans="1:18" ht="18">
      <c r="A27" s="397"/>
      <c r="B27" s="394"/>
      <c r="C27" s="313" t="s">
        <v>157</v>
      </c>
      <c r="D27" s="326">
        <v>45182</v>
      </c>
      <c r="E27" s="327">
        <v>45321</v>
      </c>
      <c r="F27" s="333"/>
      <c r="G27" s="334" t="s">
        <v>359</v>
      </c>
      <c r="H27" s="334"/>
      <c r="I27" s="334"/>
      <c r="J27" s="335" t="s">
        <v>360</v>
      </c>
      <c r="K27" s="335"/>
      <c r="L27" s="335"/>
      <c r="M27" s="336" t="s">
        <v>359</v>
      </c>
      <c r="N27" s="336"/>
      <c r="O27" s="336"/>
      <c r="P27" s="333" t="s">
        <v>359</v>
      </c>
      <c r="Q27" s="337"/>
      <c r="R27" s="338" t="s">
        <v>500</v>
      </c>
    </row>
    <row r="28" spans="1:18" ht="18">
      <c r="A28" s="397"/>
      <c r="B28" s="394"/>
      <c r="C28" s="313" t="s">
        <v>135</v>
      </c>
      <c r="D28" s="326">
        <v>45182</v>
      </c>
      <c r="E28" s="327">
        <v>45321</v>
      </c>
      <c r="F28" s="334"/>
      <c r="G28" s="334" t="s">
        <v>358</v>
      </c>
      <c r="H28" s="335"/>
      <c r="I28" s="335"/>
      <c r="J28" s="335" t="s">
        <v>358</v>
      </c>
      <c r="K28" s="336"/>
      <c r="L28" s="336"/>
      <c r="M28" s="336" t="s">
        <v>358</v>
      </c>
      <c r="N28" s="333"/>
      <c r="O28" s="333"/>
      <c r="P28" s="333" t="s">
        <v>358</v>
      </c>
      <c r="Q28" s="339"/>
      <c r="R28" s="338" t="s">
        <v>499</v>
      </c>
    </row>
    <row r="29" spans="1:18" ht="18">
      <c r="A29" s="397"/>
      <c r="B29" s="395"/>
      <c r="C29" s="313" t="s">
        <v>158</v>
      </c>
      <c r="D29" s="326">
        <v>45182</v>
      </c>
      <c r="E29" s="340">
        <v>45321</v>
      </c>
      <c r="F29" s="328"/>
      <c r="G29" s="328"/>
      <c r="H29" s="329"/>
      <c r="I29" s="329"/>
      <c r="J29" s="329"/>
      <c r="K29" s="330"/>
      <c r="L29" s="330"/>
      <c r="M29" s="330"/>
      <c r="N29" s="331"/>
      <c r="O29" s="331"/>
      <c r="P29" s="331"/>
      <c r="Q29" s="332"/>
      <c r="R29" s="338" t="s">
        <v>501</v>
      </c>
    </row>
    <row r="30" spans="1:18" ht="18">
      <c r="A30" s="397" t="s">
        <v>191</v>
      </c>
      <c r="B30" s="396" t="s">
        <v>520</v>
      </c>
      <c r="C30" s="313" t="s">
        <v>158</v>
      </c>
      <c r="D30" s="326">
        <v>45182</v>
      </c>
      <c r="E30" s="341">
        <v>45313</v>
      </c>
      <c r="F30" s="328"/>
      <c r="G30" s="328"/>
      <c r="H30" s="329"/>
      <c r="I30" s="329"/>
      <c r="J30" s="329"/>
      <c r="K30" s="330"/>
      <c r="L30" s="330"/>
      <c r="M30" s="330"/>
      <c r="N30" s="331"/>
      <c r="O30" s="331"/>
      <c r="P30" s="331"/>
      <c r="Q30" s="332"/>
      <c r="R30" s="338" t="s">
        <v>501</v>
      </c>
    </row>
    <row r="31" spans="1:18" ht="18">
      <c r="A31" s="397"/>
      <c r="B31" s="394"/>
      <c r="C31" s="313" t="s">
        <v>158</v>
      </c>
      <c r="D31" s="326">
        <v>45182</v>
      </c>
      <c r="E31" s="341">
        <v>45313</v>
      </c>
      <c r="F31" s="328"/>
      <c r="G31" s="328"/>
      <c r="H31" s="329"/>
      <c r="I31" s="329"/>
      <c r="J31" s="329"/>
      <c r="K31" s="330"/>
      <c r="L31" s="330"/>
      <c r="M31" s="330"/>
      <c r="N31" s="331"/>
      <c r="O31" s="331"/>
      <c r="P31" s="331"/>
      <c r="Q31" s="332"/>
      <c r="R31" s="338" t="s">
        <v>501</v>
      </c>
    </row>
    <row r="32" spans="1:18" ht="18">
      <c r="A32" s="397"/>
      <c r="B32" s="395"/>
      <c r="C32" s="313" t="s">
        <v>198</v>
      </c>
      <c r="D32" s="326">
        <v>45182</v>
      </c>
      <c r="E32" s="341">
        <v>45313</v>
      </c>
      <c r="F32" s="342"/>
      <c r="G32" s="342"/>
      <c r="H32" s="342"/>
      <c r="I32" s="342"/>
      <c r="J32" s="342"/>
      <c r="K32" s="342"/>
      <c r="L32" s="342"/>
      <c r="M32" s="342"/>
      <c r="N32" s="342"/>
      <c r="O32" s="342"/>
      <c r="P32" s="342"/>
      <c r="Q32" s="342"/>
      <c r="R32" s="343" t="s">
        <v>521</v>
      </c>
    </row>
    <row r="33" spans="1:18" ht="18">
      <c r="A33" s="397" t="s">
        <v>191</v>
      </c>
      <c r="B33" s="393" t="s">
        <v>267</v>
      </c>
      <c r="C33" s="313" t="s">
        <v>159</v>
      </c>
      <c r="D33" s="326">
        <v>45182</v>
      </c>
      <c r="E33" s="340">
        <v>45322</v>
      </c>
      <c r="F33" s="328"/>
      <c r="G33" s="328"/>
      <c r="H33" s="329"/>
      <c r="I33" s="329"/>
      <c r="J33" s="329"/>
      <c r="K33" s="330"/>
      <c r="L33" s="330"/>
      <c r="M33" s="330"/>
      <c r="N33" s="331"/>
      <c r="O33" s="331"/>
      <c r="P33" s="331"/>
      <c r="Q33" s="332"/>
      <c r="R33" s="322" t="s">
        <v>501</v>
      </c>
    </row>
    <row r="34" spans="1:18" ht="18">
      <c r="A34" s="397"/>
      <c r="B34" s="394"/>
      <c r="C34" s="313" t="s">
        <v>135</v>
      </c>
      <c r="D34" s="326">
        <v>45182</v>
      </c>
      <c r="E34" s="341">
        <v>45322</v>
      </c>
      <c r="F34" s="334"/>
      <c r="G34" s="334" t="s">
        <v>358</v>
      </c>
      <c r="H34" s="335"/>
      <c r="I34" s="335"/>
      <c r="J34" s="335" t="s">
        <v>358</v>
      </c>
      <c r="K34" s="336"/>
      <c r="L34" s="336"/>
      <c r="M34" s="336" t="s">
        <v>358</v>
      </c>
      <c r="N34" s="333"/>
      <c r="O34" s="333"/>
      <c r="P34" s="333" t="s">
        <v>358</v>
      </c>
      <c r="Q34" s="339"/>
      <c r="R34" s="338" t="s">
        <v>499</v>
      </c>
    </row>
    <row r="35" spans="1:18" ht="18">
      <c r="A35" s="397"/>
      <c r="B35" s="395"/>
      <c r="C35" s="313" t="s">
        <v>158</v>
      </c>
      <c r="D35" s="326">
        <v>45182</v>
      </c>
      <c r="E35" s="344">
        <v>45322</v>
      </c>
      <c r="F35" s="328"/>
      <c r="G35" s="328"/>
      <c r="H35" s="329"/>
      <c r="I35" s="329"/>
      <c r="J35" s="329"/>
      <c r="K35" s="330"/>
      <c r="L35" s="330"/>
      <c r="M35" s="330"/>
      <c r="N35" s="331"/>
      <c r="O35" s="331"/>
      <c r="P35" s="331"/>
      <c r="Q35" s="332"/>
      <c r="R35" s="338" t="s">
        <v>501</v>
      </c>
    </row>
  </sheetData>
  <mergeCells count="19">
    <mergeCell ref="B18:B19"/>
    <mergeCell ref="B2:B3"/>
    <mergeCell ref="B4:B5"/>
    <mergeCell ref="B7:B8"/>
    <mergeCell ref="B9:B10"/>
    <mergeCell ref="B11:B12"/>
    <mergeCell ref="B20:B24"/>
    <mergeCell ref="B25:B29"/>
    <mergeCell ref="B30:B32"/>
    <mergeCell ref="B33:B35"/>
    <mergeCell ref="A20:A24"/>
    <mergeCell ref="A25:A29"/>
    <mergeCell ref="A30:A32"/>
    <mergeCell ref="A33:A35"/>
    <mergeCell ref="A2:A3"/>
    <mergeCell ref="A4:A5"/>
    <mergeCell ref="A7:A8"/>
    <mergeCell ref="A9:A10"/>
    <mergeCell ref="A11:A1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09421-CAA7-4B98-9DF4-7B3D00280986}">
  <sheetPr>
    <tabColor theme="9"/>
  </sheetPr>
  <dimension ref="A1:R28"/>
  <sheetViews>
    <sheetView topLeftCell="A3" zoomScale="90" zoomScaleNormal="90" workbookViewId="0">
      <selection activeCell="D7" sqref="D7:D10"/>
    </sheetView>
  </sheetViews>
  <sheetFormatPr defaultRowHeight="17"/>
  <cols>
    <col min="2" max="2" width="29.90625" customWidth="1"/>
    <col min="3" max="3" width="28.08984375" customWidth="1"/>
    <col min="4" max="4" width="18.81640625" customWidth="1"/>
    <col min="5" max="5" width="24.81640625" customWidth="1"/>
  </cols>
  <sheetData>
    <row r="1" spans="1:17" ht="18">
      <c r="A1" s="238"/>
      <c r="B1" s="238" t="s">
        <v>489</v>
      </c>
      <c r="C1" s="238" t="s">
        <v>4</v>
      </c>
      <c r="D1" s="239" t="s">
        <v>490</v>
      </c>
      <c r="E1" s="239" t="s">
        <v>491</v>
      </c>
      <c r="F1" s="238" t="s">
        <v>305</v>
      </c>
      <c r="G1" s="238" t="s">
        <v>306</v>
      </c>
      <c r="H1" s="238" t="s">
        <v>307</v>
      </c>
      <c r="I1" s="238" t="s">
        <v>308</v>
      </c>
      <c r="J1" s="238" t="s">
        <v>309</v>
      </c>
      <c r="K1" s="238" t="s">
        <v>310</v>
      </c>
      <c r="L1" s="238" t="s">
        <v>311</v>
      </c>
      <c r="M1" s="238" t="s">
        <v>312</v>
      </c>
      <c r="N1" s="240" t="s">
        <v>313</v>
      </c>
      <c r="O1" s="238" t="s">
        <v>314</v>
      </c>
      <c r="P1" s="238" t="s">
        <v>315</v>
      </c>
      <c r="Q1" s="238" t="s">
        <v>316</v>
      </c>
    </row>
    <row r="2" spans="1:17" ht="18">
      <c r="A2" s="285" t="s">
        <v>162</v>
      </c>
      <c r="B2" s="370" t="s">
        <v>17</v>
      </c>
      <c r="C2" s="241" t="s">
        <v>353</v>
      </c>
      <c r="D2" s="242">
        <v>45762</v>
      </c>
      <c r="E2" s="242">
        <f t="shared" ref="E2:E10" si="0">D2+61</f>
        <v>45823</v>
      </c>
      <c r="F2" s="243" t="s">
        <v>335</v>
      </c>
      <c r="G2" s="244"/>
      <c r="H2" s="244"/>
      <c r="I2" s="244"/>
      <c r="J2" s="245"/>
      <c r="K2" s="245"/>
      <c r="L2" s="245" t="s">
        <v>334</v>
      </c>
      <c r="M2" s="246"/>
      <c r="N2" s="246"/>
      <c r="O2" s="246"/>
      <c r="P2" s="243"/>
      <c r="Q2" s="243"/>
    </row>
    <row r="3" spans="1:17" ht="18">
      <c r="A3" s="286" t="s">
        <v>162</v>
      </c>
      <c r="B3" s="241" t="s">
        <v>11</v>
      </c>
      <c r="C3" s="241" t="s">
        <v>492</v>
      </c>
      <c r="D3" s="242">
        <v>45777</v>
      </c>
      <c r="E3" s="242">
        <f t="shared" si="0"/>
        <v>45838</v>
      </c>
      <c r="F3" s="248" t="s">
        <v>334</v>
      </c>
      <c r="G3" s="249"/>
      <c r="H3" s="249"/>
      <c r="I3" s="250"/>
      <c r="J3" s="250"/>
      <c r="K3" s="250"/>
      <c r="L3" s="251" t="s">
        <v>334</v>
      </c>
      <c r="M3" s="251"/>
      <c r="N3" s="252"/>
      <c r="O3" s="253"/>
      <c r="P3" s="254"/>
      <c r="Q3" s="253"/>
    </row>
    <row r="4" spans="1:17" ht="18">
      <c r="A4" s="285" t="s">
        <v>162</v>
      </c>
      <c r="B4" s="370" t="s">
        <v>12</v>
      </c>
      <c r="C4" s="241" t="s">
        <v>353</v>
      </c>
      <c r="D4" s="242">
        <v>45762</v>
      </c>
      <c r="E4" s="242">
        <f t="shared" si="0"/>
        <v>45823</v>
      </c>
      <c r="F4" s="243" t="s">
        <v>334</v>
      </c>
      <c r="G4" s="244"/>
      <c r="H4" s="244"/>
      <c r="I4" s="244"/>
      <c r="J4" s="245"/>
      <c r="K4" s="245"/>
      <c r="L4" s="245" t="s">
        <v>334</v>
      </c>
      <c r="M4" s="246"/>
      <c r="N4" s="246"/>
      <c r="O4" s="246"/>
      <c r="P4" s="243"/>
      <c r="Q4" s="243"/>
    </row>
    <row r="5" spans="1:17" ht="18">
      <c r="A5" s="286" t="s">
        <v>162</v>
      </c>
      <c r="B5" s="402" t="s">
        <v>14</v>
      </c>
      <c r="C5" s="241" t="s">
        <v>353</v>
      </c>
      <c r="D5" s="242">
        <v>45762</v>
      </c>
      <c r="E5" s="242">
        <f t="shared" si="0"/>
        <v>45823</v>
      </c>
      <c r="F5" s="243" t="s">
        <v>334</v>
      </c>
      <c r="G5" s="244"/>
      <c r="H5" s="244"/>
      <c r="I5" s="244"/>
      <c r="J5" s="245"/>
      <c r="K5" s="245"/>
      <c r="L5" s="245" t="s">
        <v>334</v>
      </c>
      <c r="M5" s="246"/>
      <c r="N5" s="246"/>
      <c r="O5" s="246"/>
      <c r="P5" s="243"/>
      <c r="Q5" s="243"/>
    </row>
    <row r="6" spans="1:17" ht="18">
      <c r="A6" s="285" t="s">
        <v>162</v>
      </c>
      <c r="B6" s="403"/>
      <c r="C6" s="255" t="s">
        <v>222</v>
      </c>
      <c r="D6" s="242">
        <v>45762</v>
      </c>
      <c r="E6" s="242">
        <f t="shared" si="0"/>
        <v>45823</v>
      </c>
      <c r="F6" s="256" t="s">
        <v>334</v>
      </c>
      <c r="G6" s="257"/>
      <c r="H6" s="257"/>
      <c r="I6" s="258"/>
      <c r="J6" s="259"/>
      <c r="K6" s="259"/>
      <c r="L6" s="260" t="s">
        <v>334</v>
      </c>
      <c r="M6" s="261"/>
      <c r="N6" s="262"/>
      <c r="O6" s="263"/>
      <c r="P6" s="264"/>
      <c r="Q6" s="265"/>
    </row>
    <row r="7" spans="1:17" ht="18">
      <c r="A7" s="286" t="s">
        <v>162</v>
      </c>
      <c r="B7" s="241" t="s">
        <v>18</v>
      </c>
      <c r="C7" s="241" t="s">
        <v>492</v>
      </c>
      <c r="D7" s="242">
        <v>45777</v>
      </c>
      <c r="E7" s="242">
        <f t="shared" si="0"/>
        <v>45838</v>
      </c>
      <c r="F7" s="248" t="s">
        <v>334</v>
      </c>
      <c r="G7" s="249"/>
      <c r="H7" s="249"/>
      <c r="I7" s="250"/>
      <c r="J7" s="250"/>
      <c r="K7" s="250"/>
      <c r="L7" s="251" t="s">
        <v>334</v>
      </c>
      <c r="M7" s="251"/>
      <c r="N7" s="252"/>
      <c r="O7" s="253"/>
      <c r="P7" s="254"/>
      <c r="Q7" s="253"/>
    </row>
    <row r="8" spans="1:17" ht="18">
      <c r="A8" s="285" t="s">
        <v>162</v>
      </c>
      <c r="B8" s="241" t="s">
        <v>16</v>
      </c>
      <c r="C8" s="241" t="s">
        <v>492</v>
      </c>
      <c r="D8" s="242">
        <v>45777</v>
      </c>
      <c r="E8" s="242">
        <f t="shared" si="0"/>
        <v>45838</v>
      </c>
      <c r="F8" s="248" t="s">
        <v>334</v>
      </c>
      <c r="G8" s="249"/>
      <c r="H8" s="249"/>
      <c r="I8" s="250"/>
      <c r="J8" s="250"/>
      <c r="K8" s="250"/>
      <c r="L8" s="251" t="s">
        <v>334</v>
      </c>
      <c r="M8" s="251"/>
      <c r="N8" s="252"/>
      <c r="O8" s="253"/>
      <c r="P8" s="254"/>
      <c r="Q8" s="253"/>
    </row>
    <row r="9" spans="1:17" ht="18">
      <c r="A9" s="286" t="s">
        <v>162</v>
      </c>
      <c r="B9" s="241" t="s">
        <v>15</v>
      </c>
      <c r="C9" s="241" t="s">
        <v>492</v>
      </c>
      <c r="D9" s="242">
        <v>45777</v>
      </c>
      <c r="E9" s="242">
        <f t="shared" si="0"/>
        <v>45838</v>
      </c>
      <c r="F9" s="248" t="s">
        <v>334</v>
      </c>
      <c r="G9" s="249"/>
      <c r="H9" s="249"/>
      <c r="I9" s="250"/>
      <c r="J9" s="250"/>
      <c r="K9" s="250"/>
      <c r="L9" s="251" t="s">
        <v>334</v>
      </c>
      <c r="M9" s="251"/>
      <c r="N9" s="252"/>
      <c r="O9" s="253"/>
      <c r="P9" s="254"/>
      <c r="Q9" s="253"/>
    </row>
    <row r="10" spans="1:17" ht="18">
      <c r="A10" s="56" t="s">
        <v>162</v>
      </c>
      <c r="B10" s="361" t="s">
        <v>13</v>
      </c>
      <c r="C10" s="241" t="s">
        <v>492</v>
      </c>
      <c r="D10" s="242">
        <v>45777</v>
      </c>
      <c r="E10" s="242">
        <f t="shared" si="0"/>
        <v>45838</v>
      </c>
      <c r="F10" s="248" t="s">
        <v>334</v>
      </c>
      <c r="G10" s="249"/>
      <c r="H10" s="249"/>
      <c r="I10" s="250"/>
      <c r="J10" s="250"/>
      <c r="K10" s="250"/>
      <c r="L10" s="251" t="s">
        <v>334</v>
      </c>
      <c r="M10" s="251"/>
      <c r="N10" s="252"/>
      <c r="O10" s="253"/>
      <c r="P10" s="254"/>
      <c r="Q10" s="253"/>
    </row>
    <row r="11" spans="1:17" ht="18">
      <c r="A11" s="19" t="s">
        <v>180</v>
      </c>
      <c r="B11" s="406" t="s">
        <v>25</v>
      </c>
      <c r="C11" s="266" t="s">
        <v>493</v>
      </c>
      <c r="D11" s="247"/>
      <c r="E11" s="242"/>
      <c r="F11" s="253"/>
      <c r="G11" s="253"/>
      <c r="H11" s="253"/>
      <c r="I11" s="267"/>
      <c r="J11" s="267"/>
      <c r="K11" s="267"/>
      <c r="L11" s="268"/>
      <c r="M11" s="268"/>
      <c r="N11" s="268"/>
      <c r="O11" s="269"/>
      <c r="P11" s="270"/>
      <c r="Q11" s="269"/>
    </row>
    <row r="12" spans="1:17" ht="18">
      <c r="A12" s="19" t="s">
        <v>180</v>
      </c>
      <c r="B12" s="407"/>
      <c r="C12" s="266" t="s">
        <v>494</v>
      </c>
      <c r="D12" s="247"/>
      <c r="E12" s="242"/>
      <c r="F12" s="253"/>
      <c r="G12" s="253"/>
      <c r="H12" s="267" t="s">
        <v>495</v>
      </c>
      <c r="I12" s="267"/>
      <c r="J12" s="267"/>
      <c r="K12" s="268" t="s">
        <v>495</v>
      </c>
      <c r="L12" s="268"/>
      <c r="M12" s="268"/>
      <c r="N12" s="269" t="s">
        <v>495</v>
      </c>
      <c r="O12" s="269"/>
      <c r="P12" s="269"/>
      <c r="Q12" s="253" t="s">
        <v>495</v>
      </c>
    </row>
    <row r="13" spans="1:17" ht="18">
      <c r="A13" s="19" t="s">
        <v>180</v>
      </c>
      <c r="B13" s="406" t="s">
        <v>27</v>
      </c>
      <c r="C13" s="266" t="s">
        <v>493</v>
      </c>
      <c r="D13" s="271"/>
      <c r="E13" s="242"/>
      <c r="F13" s="253"/>
      <c r="G13" s="253"/>
      <c r="H13" s="253"/>
      <c r="I13" s="267"/>
      <c r="J13" s="267"/>
      <c r="K13" s="267"/>
      <c r="L13" s="268"/>
      <c r="M13" s="268"/>
      <c r="N13" s="268"/>
      <c r="O13" s="269"/>
      <c r="P13" s="270"/>
      <c r="Q13" s="269"/>
    </row>
    <row r="14" spans="1:17" ht="18">
      <c r="A14" s="19" t="s">
        <v>180</v>
      </c>
      <c r="B14" s="407"/>
      <c r="C14" s="266" t="s">
        <v>494</v>
      </c>
      <c r="D14" s="271"/>
      <c r="E14" s="242"/>
      <c r="F14" s="253"/>
      <c r="G14" s="253"/>
      <c r="H14" s="267" t="s">
        <v>495</v>
      </c>
      <c r="I14" s="267"/>
      <c r="J14" s="267"/>
      <c r="K14" s="268" t="s">
        <v>495</v>
      </c>
      <c r="L14" s="268"/>
      <c r="M14" s="268"/>
      <c r="N14" s="269" t="s">
        <v>495</v>
      </c>
      <c r="O14" s="269"/>
      <c r="P14" s="269"/>
      <c r="Q14" s="253" t="s">
        <v>495</v>
      </c>
    </row>
    <row r="15" spans="1:17" ht="18">
      <c r="A15" s="19" t="s">
        <v>180</v>
      </c>
      <c r="B15" s="406" t="s">
        <v>496</v>
      </c>
      <c r="C15" s="241" t="s">
        <v>493</v>
      </c>
      <c r="D15" s="271"/>
      <c r="E15" s="242"/>
      <c r="F15" s="253"/>
      <c r="G15" s="253"/>
      <c r="H15" s="253"/>
      <c r="I15" s="267"/>
      <c r="J15" s="267"/>
      <c r="K15" s="267"/>
      <c r="L15" s="268"/>
      <c r="M15" s="268"/>
      <c r="N15" s="268"/>
      <c r="O15" s="269"/>
      <c r="P15" s="270"/>
      <c r="Q15" s="269"/>
    </row>
    <row r="16" spans="1:17" ht="18">
      <c r="A16" s="19" t="s">
        <v>180</v>
      </c>
      <c r="B16" s="407"/>
      <c r="C16" s="266" t="s">
        <v>494</v>
      </c>
      <c r="D16" s="271"/>
      <c r="E16" s="242"/>
      <c r="F16" s="253"/>
      <c r="G16" s="253"/>
      <c r="H16" s="267" t="s">
        <v>495</v>
      </c>
      <c r="I16" s="267"/>
      <c r="J16" s="267"/>
      <c r="K16" s="268" t="s">
        <v>495</v>
      </c>
      <c r="L16" s="268"/>
      <c r="M16" s="268"/>
      <c r="N16" s="269" t="s">
        <v>495</v>
      </c>
      <c r="O16" s="269"/>
      <c r="P16" s="269"/>
      <c r="Q16" s="253" t="s">
        <v>495</v>
      </c>
    </row>
    <row r="17" spans="1:18" ht="18">
      <c r="A17" s="388" t="s">
        <v>191</v>
      </c>
      <c r="B17" s="404" t="s">
        <v>497</v>
      </c>
      <c r="C17" s="241" t="s">
        <v>47</v>
      </c>
      <c r="D17" s="271"/>
      <c r="E17" s="242"/>
      <c r="F17" s="272"/>
      <c r="G17" s="272"/>
      <c r="H17" s="273"/>
      <c r="I17" s="273"/>
      <c r="J17" s="273"/>
      <c r="K17" s="274"/>
      <c r="L17" s="274"/>
      <c r="M17" s="274"/>
      <c r="N17" s="275"/>
      <c r="O17" s="275"/>
      <c r="P17" s="275"/>
      <c r="Q17" s="272"/>
      <c r="R17" s="276" t="s">
        <v>498</v>
      </c>
    </row>
    <row r="18" spans="1:18" ht="18">
      <c r="A18" s="389" t="s">
        <v>191</v>
      </c>
      <c r="B18" s="408"/>
      <c r="C18" s="241" t="s">
        <v>135</v>
      </c>
      <c r="D18" s="271"/>
      <c r="E18" s="242"/>
      <c r="F18" s="277"/>
      <c r="G18" s="277" t="s">
        <v>358</v>
      </c>
      <c r="H18" s="278"/>
      <c r="I18" s="278"/>
      <c r="J18" s="278" t="s">
        <v>358</v>
      </c>
      <c r="K18" s="273"/>
      <c r="L18" s="273"/>
      <c r="M18" s="273" t="s">
        <v>358</v>
      </c>
      <c r="N18" s="275"/>
      <c r="O18" s="275"/>
      <c r="P18" s="275" t="s">
        <v>358</v>
      </c>
      <c r="Q18" s="277"/>
      <c r="R18" s="276" t="s">
        <v>499</v>
      </c>
    </row>
    <row r="19" spans="1:18" ht="18">
      <c r="A19" s="389" t="s">
        <v>191</v>
      </c>
      <c r="B19" s="408"/>
      <c r="C19" s="241" t="s">
        <v>157</v>
      </c>
      <c r="D19" s="271"/>
      <c r="E19" s="242"/>
      <c r="F19" s="277"/>
      <c r="G19" s="273" t="s">
        <v>359</v>
      </c>
      <c r="H19" s="273"/>
      <c r="I19" s="273"/>
      <c r="J19" s="274" t="s">
        <v>360</v>
      </c>
      <c r="K19" s="274"/>
      <c r="L19" s="274"/>
      <c r="M19" s="275" t="s">
        <v>359</v>
      </c>
      <c r="N19" s="275"/>
      <c r="O19" s="275"/>
      <c r="P19" s="277" t="s">
        <v>359</v>
      </c>
      <c r="Q19" s="277"/>
      <c r="R19" s="276" t="s">
        <v>500</v>
      </c>
    </row>
    <row r="20" spans="1:18" ht="18">
      <c r="A20" s="390" t="s">
        <v>191</v>
      </c>
      <c r="B20" s="405"/>
      <c r="C20" s="241" t="s">
        <v>158</v>
      </c>
      <c r="D20" s="271"/>
      <c r="E20" s="242"/>
      <c r="F20" s="279"/>
      <c r="G20" s="279"/>
      <c r="H20" s="280"/>
      <c r="I20" s="280"/>
      <c r="J20" s="280"/>
      <c r="K20" s="272"/>
      <c r="L20" s="272"/>
      <c r="M20" s="272"/>
      <c r="N20" s="281"/>
      <c r="O20" s="281"/>
      <c r="P20" s="281"/>
      <c r="Q20" s="279"/>
      <c r="R20" s="276" t="s">
        <v>501</v>
      </c>
    </row>
    <row r="21" spans="1:18" ht="18">
      <c r="A21" s="388" t="s">
        <v>191</v>
      </c>
      <c r="B21" s="404" t="s">
        <v>25</v>
      </c>
      <c r="C21" s="241" t="s">
        <v>192</v>
      </c>
      <c r="D21" s="271"/>
      <c r="E21" s="242"/>
      <c r="F21" s="274"/>
      <c r="G21" s="274"/>
      <c r="H21" s="282"/>
      <c r="I21" s="282"/>
      <c r="J21" s="282"/>
      <c r="K21" s="282"/>
      <c r="L21" s="282"/>
      <c r="M21" s="282"/>
      <c r="N21" s="274"/>
      <c r="O21" s="274"/>
      <c r="P21" s="274"/>
      <c r="Q21" s="274"/>
      <c r="R21" s="283"/>
    </row>
    <row r="22" spans="1:18" ht="18">
      <c r="A22" s="389" t="s">
        <v>191</v>
      </c>
      <c r="B22" s="408"/>
      <c r="C22" s="241" t="s">
        <v>44</v>
      </c>
      <c r="D22" s="271"/>
      <c r="E22" s="242"/>
      <c r="F22" s="277"/>
      <c r="G22" s="277" t="s">
        <v>358</v>
      </c>
      <c r="H22" s="278"/>
      <c r="I22" s="278"/>
      <c r="J22" s="278" t="s">
        <v>358</v>
      </c>
      <c r="K22" s="273"/>
      <c r="L22" s="273"/>
      <c r="M22" s="273" t="s">
        <v>358</v>
      </c>
      <c r="N22" s="275"/>
      <c r="O22" s="275"/>
      <c r="P22" s="275" t="s">
        <v>358</v>
      </c>
      <c r="Q22" s="277"/>
      <c r="R22" s="276" t="s">
        <v>499</v>
      </c>
    </row>
    <row r="23" spans="1:18" ht="18">
      <c r="A23" s="389" t="s">
        <v>191</v>
      </c>
      <c r="B23" s="408"/>
      <c r="C23" s="241" t="s">
        <v>43</v>
      </c>
      <c r="D23" s="271"/>
      <c r="E23" s="242"/>
      <c r="F23" s="277"/>
      <c r="G23" s="273" t="s">
        <v>359</v>
      </c>
      <c r="H23" s="273"/>
      <c r="I23" s="273"/>
      <c r="J23" s="274" t="s">
        <v>360</v>
      </c>
      <c r="K23" s="274"/>
      <c r="L23" s="274"/>
      <c r="M23" s="275" t="s">
        <v>359</v>
      </c>
      <c r="N23" s="275"/>
      <c r="O23" s="275"/>
      <c r="P23" s="277" t="s">
        <v>359</v>
      </c>
      <c r="Q23" s="277"/>
      <c r="R23" s="276" t="s">
        <v>500</v>
      </c>
    </row>
    <row r="24" spans="1:18" ht="18">
      <c r="A24" s="390" t="s">
        <v>191</v>
      </c>
      <c r="B24" s="405"/>
      <c r="C24" s="241" t="s">
        <v>45</v>
      </c>
      <c r="D24" s="271"/>
      <c r="E24" s="242"/>
      <c r="F24" s="279"/>
      <c r="G24" s="279"/>
      <c r="H24" s="280"/>
      <c r="I24" s="280"/>
      <c r="J24" s="280"/>
      <c r="K24" s="272"/>
      <c r="L24" s="272"/>
      <c r="M24" s="272"/>
      <c r="N24" s="281"/>
      <c r="O24" s="281"/>
      <c r="P24" s="281"/>
      <c r="Q24" s="279"/>
      <c r="R24" s="276" t="s">
        <v>501</v>
      </c>
    </row>
    <row r="25" spans="1:18" ht="18">
      <c r="A25" s="388" t="s">
        <v>191</v>
      </c>
      <c r="B25" s="404" t="s">
        <v>26</v>
      </c>
      <c r="C25" s="241" t="s">
        <v>135</v>
      </c>
      <c r="D25" s="271"/>
      <c r="E25" s="242"/>
      <c r="F25" s="277"/>
      <c r="G25" s="277" t="s">
        <v>358</v>
      </c>
      <c r="H25" s="278"/>
      <c r="I25" s="278"/>
      <c r="J25" s="278" t="s">
        <v>358</v>
      </c>
      <c r="K25" s="273"/>
      <c r="L25" s="273"/>
      <c r="M25" s="273" t="s">
        <v>358</v>
      </c>
      <c r="N25" s="275"/>
      <c r="O25" s="275"/>
      <c r="P25" s="275" t="s">
        <v>358</v>
      </c>
      <c r="Q25" s="277"/>
      <c r="R25" s="276" t="s">
        <v>499</v>
      </c>
    </row>
    <row r="26" spans="1:18" ht="18">
      <c r="A26" s="389" t="s">
        <v>191</v>
      </c>
      <c r="B26" s="405"/>
      <c r="C26" s="241" t="s">
        <v>158</v>
      </c>
      <c r="D26" s="271"/>
      <c r="E26" s="242"/>
      <c r="F26" s="279"/>
      <c r="G26" s="279"/>
      <c r="H26" s="280"/>
      <c r="I26" s="280"/>
      <c r="J26" s="280"/>
      <c r="K26" s="272"/>
      <c r="L26" s="272"/>
      <c r="M26" s="272"/>
      <c r="N26" s="281"/>
      <c r="O26" s="281"/>
      <c r="P26" s="281"/>
      <c r="Q26" s="279"/>
      <c r="R26" s="276" t="s">
        <v>501</v>
      </c>
    </row>
    <row r="27" spans="1:18" ht="18">
      <c r="A27" s="389" t="s">
        <v>191</v>
      </c>
      <c r="B27" s="404" t="s">
        <v>502</v>
      </c>
      <c r="C27" s="241" t="s">
        <v>45</v>
      </c>
      <c r="D27" s="271"/>
      <c r="E27" s="242"/>
      <c r="F27" s="279"/>
      <c r="G27" s="279"/>
      <c r="H27" s="280"/>
      <c r="I27" s="280"/>
      <c r="J27" s="280"/>
      <c r="K27" s="272"/>
      <c r="L27" s="272"/>
      <c r="M27" s="272"/>
      <c r="N27" s="281"/>
      <c r="O27" s="281"/>
      <c r="P27" s="281"/>
      <c r="Q27" s="279"/>
      <c r="R27" s="276" t="s">
        <v>503</v>
      </c>
    </row>
    <row r="28" spans="1:18" ht="18">
      <c r="A28" s="390" t="s">
        <v>191</v>
      </c>
      <c r="B28" s="405"/>
      <c r="C28" s="241" t="s">
        <v>198</v>
      </c>
      <c r="D28" s="271"/>
      <c r="E28" s="242"/>
      <c r="F28" s="284"/>
      <c r="G28" s="284"/>
      <c r="H28" s="284"/>
      <c r="I28" s="284"/>
      <c r="J28" s="280"/>
      <c r="K28" s="280"/>
      <c r="L28" s="280"/>
      <c r="M28" s="280"/>
      <c r="N28" s="280"/>
      <c r="O28" s="280"/>
      <c r="P28" s="284"/>
      <c r="Q28" s="284"/>
      <c r="R28" s="276" t="s">
        <v>504</v>
      </c>
    </row>
  </sheetData>
  <mergeCells count="11">
    <mergeCell ref="B5:B6"/>
    <mergeCell ref="B27:B28"/>
    <mergeCell ref="A17:A20"/>
    <mergeCell ref="A21:A24"/>
    <mergeCell ref="A25:A28"/>
    <mergeCell ref="B11:B12"/>
    <mergeCell ref="B13:B14"/>
    <mergeCell ref="B15:B16"/>
    <mergeCell ref="B17:B20"/>
    <mergeCell ref="B21:B24"/>
    <mergeCell ref="B25:B26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V33"/>
  <sheetViews>
    <sheetView zoomScale="90" zoomScaleNormal="90" workbookViewId="0">
      <pane xSplit="7" topLeftCell="J1" activePane="topRight" state="frozen"/>
      <selection pane="topRight" activeCell="J13" sqref="J13"/>
    </sheetView>
  </sheetViews>
  <sheetFormatPr defaultColWidth="10.81640625" defaultRowHeight="17"/>
  <cols>
    <col min="1" max="1" width="10.81640625" style="2"/>
    <col min="2" max="2" width="26.6328125" style="2" customWidth="1"/>
    <col min="3" max="4" width="12.81640625" style="2" customWidth="1"/>
    <col min="5" max="5" width="16.08984375" style="78" customWidth="1"/>
    <col min="6" max="6" width="17.7265625" style="78" customWidth="1"/>
    <col min="7" max="7" width="18.453125" style="2" customWidth="1"/>
    <col min="8" max="9" width="14.08984375" style="2" customWidth="1"/>
    <col min="10" max="10" width="32.6328125" style="1" customWidth="1"/>
  </cols>
  <sheetData>
    <row r="1" spans="1:22" ht="18.5">
      <c r="A1" s="20" t="s">
        <v>0</v>
      </c>
      <c r="B1" s="20" t="s">
        <v>1</v>
      </c>
      <c r="C1" s="20" t="s">
        <v>2</v>
      </c>
      <c r="D1" s="20" t="s">
        <v>3</v>
      </c>
      <c r="E1" s="77" t="s">
        <v>9</v>
      </c>
      <c r="F1" s="77" t="s">
        <v>333</v>
      </c>
      <c r="G1" s="20" t="s">
        <v>4</v>
      </c>
      <c r="H1" s="20" t="s">
        <v>5</v>
      </c>
      <c r="I1" s="20" t="s">
        <v>6</v>
      </c>
      <c r="J1" s="20" t="s">
        <v>7</v>
      </c>
      <c r="K1" s="35" t="s">
        <v>305</v>
      </c>
      <c r="L1" s="35" t="s">
        <v>306</v>
      </c>
      <c r="M1" s="35" t="s">
        <v>307</v>
      </c>
      <c r="N1" s="35" t="s">
        <v>308</v>
      </c>
      <c r="O1" s="35" t="s">
        <v>309</v>
      </c>
      <c r="P1" s="35" t="s">
        <v>310</v>
      </c>
      <c r="Q1" s="35" t="s">
        <v>311</v>
      </c>
      <c r="R1" s="35" t="s">
        <v>312</v>
      </c>
      <c r="S1" s="35" t="s">
        <v>313</v>
      </c>
      <c r="T1" s="35" t="s">
        <v>314</v>
      </c>
      <c r="U1" s="35" t="s">
        <v>315</v>
      </c>
      <c r="V1" s="35" t="s">
        <v>316</v>
      </c>
    </row>
    <row r="2" spans="1:22" ht="19" thickBot="1">
      <c r="A2" s="18" t="s">
        <v>10</v>
      </c>
      <c r="B2" s="3" t="s">
        <v>136</v>
      </c>
      <c r="C2" s="3" t="s">
        <v>137</v>
      </c>
      <c r="D2" s="3" t="s">
        <v>138</v>
      </c>
      <c r="E2" s="11">
        <v>45727</v>
      </c>
      <c r="F2" s="11">
        <f>E2+61</f>
        <v>45788</v>
      </c>
      <c r="G2" s="60" t="s">
        <v>353</v>
      </c>
      <c r="H2" s="3"/>
      <c r="I2" s="3"/>
      <c r="J2" s="4"/>
      <c r="K2" s="69"/>
      <c r="L2" s="70" t="s">
        <v>334</v>
      </c>
      <c r="M2" s="70"/>
      <c r="N2" s="70"/>
      <c r="O2" s="106" t="s">
        <v>335</v>
      </c>
      <c r="P2" s="106"/>
      <c r="Q2" s="106"/>
      <c r="R2" s="107"/>
      <c r="S2" s="107"/>
      <c r="T2" s="107"/>
      <c r="U2" s="71"/>
      <c r="V2" s="108"/>
    </row>
    <row r="3" spans="1:22" ht="19" thickBot="1">
      <c r="A3" s="18" t="s">
        <v>10</v>
      </c>
      <c r="B3" s="3" t="s">
        <v>140</v>
      </c>
      <c r="C3" s="3" t="s">
        <v>137</v>
      </c>
      <c r="D3" s="3" t="s">
        <v>138</v>
      </c>
      <c r="E3" s="11">
        <v>45727</v>
      </c>
      <c r="F3" s="11">
        <f t="shared" ref="F3:F18" si="0">E3+61</f>
        <v>45788</v>
      </c>
      <c r="G3" s="60" t="s">
        <v>353</v>
      </c>
      <c r="H3" s="3"/>
      <c r="I3" s="3"/>
      <c r="J3" s="4"/>
      <c r="K3" s="69"/>
      <c r="L3" s="70" t="s">
        <v>334</v>
      </c>
      <c r="M3" s="70"/>
      <c r="N3" s="70"/>
      <c r="O3" s="106" t="s">
        <v>334</v>
      </c>
      <c r="P3" s="106"/>
      <c r="Q3" s="106"/>
      <c r="R3" s="107"/>
      <c r="S3" s="107"/>
      <c r="T3" s="107"/>
      <c r="U3" s="71"/>
      <c r="V3" s="108"/>
    </row>
    <row r="4" spans="1:22" ht="19" thickBot="1">
      <c r="A4" s="18" t="s">
        <v>10</v>
      </c>
      <c r="B4" s="53" t="s">
        <v>141</v>
      </c>
      <c r="C4" s="3" t="s">
        <v>137</v>
      </c>
      <c r="D4" s="3" t="s">
        <v>138</v>
      </c>
      <c r="E4" s="11">
        <v>45727</v>
      </c>
      <c r="F4" s="11">
        <f t="shared" si="0"/>
        <v>45788</v>
      </c>
      <c r="G4" s="3" t="s">
        <v>516</v>
      </c>
      <c r="H4" s="3"/>
      <c r="I4" s="3"/>
      <c r="J4" s="4"/>
      <c r="K4" s="109" t="s">
        <v>335</v>
      </c>
      <c r="L4" s="70"/>
      <c r="M4" s="70"/>
      <c r="N4" s="70"/>
      <c r="O4" s="36" t="s">
        <v>334</v>
      </c>
      <c r="P4" s="36"/>
      <c r="Q4" s="36"/>
      <c r="R4" s="91"/>
      <c r="S4" s="91"/>
      <c r="T4" s="91"/>
      <c r="U4" s="71"/>
      <c r="V4" s="71"/>
    </row>
    <row r="5" spans="1:22" ht="18.5">
      <c r="A5" s="385" t="s">
        <v>10</v>
      </c>
      <c r="B5" s="382" t="s">
        <v>143</v>
      </c>
      <c r="C5" s="371" t="s">
        <v>137</v>
      </c>
      <c r="D5" s="371" t="s">
        <v>138</v>
      </c>
      <c r="E5" s="11">
        <v>45727</v>
      </c>
      <c r="F5" s="11">
        <f t="shared" si="0"/>
        <v>45788</v>
      </c>
      <c r="G5" s="3" t="s">
        <v>364</v>
      </c>
      <c r="H5" s="3"/>
      <c r="I5" s="3"/>
      <c r="J5" s="4"/>
      <c r="K5" s="37"/>
      <c r="L5" s="37"/>
      <c r="M5" s="38"/>
      <c r="N5" s="38"/>
      <c r="O5" s="38" t="s">
        <v>334</v>
      </c>
      <c r="P5" s="36"/>
      <c r="Q5" s="36"/>
      <c r="R5" s="36"/>
      <c r="S5" s="91"/>
      <c r="T5" s="91"/>
      <c r="U5" s="91"/>
      <c r="V5" s="37"/>
    </row>
    <row r="6" spans="1:22" ht="19" thickBot="1">
      <c r="A6" s="386"/>
      <c r="B6" s="384"/>
      <c r="C6" s="373"/>
      <c r="D6" s="373"/>
      <c r="E6" s="11">
        <v>45727</v>
      </c>
      <c r="F6" s="11">
        <f t="shared" si="0"/>
        <v>45788</v>
      </c>
      <c r="G6" s="3" t="s">
        <v>484</v>
      </c>
      <c r="H6" s="3"/>
      <c r="I6" s="3"/>
      <c r="J6" s="4"/>
      <c r="K6" s="70"/>
      <c r="L6" s="70" t="s">
        <v>334</v>
      </c>
      <c r="M6" s="70"/>
      <c r="N6" s="36"/>
      <c r="O6" s="36" t="s">
        <v>334</v>
      </c>
      <c r="P6" s="36"/>
      <c r="Q6" s="91"/>
      <c r="R6" s="91"/>
      <c r="S6" s="91"/>
      <c r="T6" s="71"/>
      <c r="U6" s="71"/>
      <c r="V6" s="71"/>
    </row>
    <row r="7" spans="1:22" ht="19" thickBot="1">
      <c r="A7" s="56" t="s">
        <v>10</v>
      </c>
      <c r="B7" s="62" t="s">
        <v>145</v>
      </c>
      <c r="C7" s="58" t="s">
        <v>137</v>
      </c>
      <c r="D7" s="58" t="s">
        <v>138</v>
      </c>
      <c r="E7" s="11">
        <v>45727</v>
      </c>
      <c r="F7" s="73">
        <f t="shared" si="0"/>
        <v>45788</v>
      </c>
      <c r="G7" s="58" t="s">
        <v>484</v>
      </c>
      <c r="H7" s="58"/>
      <c r="I7" s="58"/>
      <c r="J7" s="63"/>
      <c r="K7" s="94"/>
      <c r="L7" s="94" t="s">
        <v>334</v>
      </c>
      <c r="M7" s="94"/>
      <c r="N7" s="95"/>
      <c r="O7" s="95" t="s">
        <v>334</v>
      </c>
      <c r="P7" s="95"/>
      <c r="Q7" s="96"/>
      <c r="R7" s="96"/>
      <c r="S7" s="96"/>
      <c r="T7" s="97"/>
      <c r="U7" s="97"/>
      <c r="V7" s="97"/>
    </row>
    <row r="8" spans="1:22" s="66" customFormat="1" ht="19" thickBot="1">
      <c r="A8" s="414" t="s">
        <v>10</v>
      </c>
      <c r="B8" s="412" t="s">
        <v>146</v>
      </c>
      <c r="C8" s="412" t="s">
        <v>137</v>
      </c>
      <c r="D8" s="412" t="s">
        <v>138</v>
      </c>
      <c r="E8" s="11">
        <v>45727</v>
      </c>
      <c r="F8" s="75">
        <f t="shared" si="0"/>
        <v>45788</v>
      </c>
      <c r="G8" s="64" t="s">
        <v>484</v>
      </c>
      <c r="H8" s="64"/>
      <c r="I8" s="64"/>
      <c r="J8" s="65"/>
      <c r="K8" s="102"/>
      <c r="L8" s="102" t="s">
        <v>334</v>
      </c>
      <c r="M8" s="102"/>
      <c r="N8" s="93"/>
      <c r="O8" s="93" t="s">
        <v>334</v>
      </c>
      <c r="P8" s="93"/>
      <c r="Q8" s="103"/>
      <c r="R8" s="103"/>
      <c r="S8" s="103"/>
      <c r="T8" s="104"/>
      <c r="U8" s="104"/>
      <c r="V8" s="105"/>
    </row>
    <row r="9" spans="1:22" s="72" customFormat="1" ht="19" thickBot="1">
      <c r="A9" s="415"/>
      <c r="B9" s="413"/>
      <c r="C9" s="413" t="s">
        <v>137</v>
      </c>
      <c r="D9" s="413" t="s">
        <v>138</v>
      </c>
      <c r="E9" s="11">
        <v>45727</v>
      </c>
      <c r="F9" s="76">
        <f t="shared" si="0"/>
        <v>45788</v>
      </c>
      <c r="G9" s="67" t="s">
        <v>147</v>
      </c>
      <c r="H9" s="67"/>
      <c r="I9" s="67"/>
      <c r="J9" s="68"/>
      <c r="K9" s="69"/>
      <c r="L9" s="70" t="s">
        <v>334</v>
      </c>
      <c r="M9" s="70"/>
      <c r="N9" s="70"/>
      <c r="O9" s="106" t="s">
        <v>334</v>
      </c>
      <c r="P9" s="106"/>
      <c r="Q9" s="106"/>
      <c r="R9" s="107"/>
      <c r="S9" s="107"/>
      <c r="T9" s="107"/>
      <c r="U9" s="71"/>
      <c r="V9" s="108"/>
    </row>
    <row r="10" spans="1:22" ht="19" thickBot="1">
      <c r="A10" s="57" t="s">
        <v>10</v>
      </c>
      <c r="B10" s="59" t="s">
        <v>148</v>
      </c>
      <c r="C10" s="59" t="s">
        <v>137</v>
      </c>
      <c r="D10" s="59" t="s">
        <v>138</v>
      </c>
      <c r="E10" s="11">
        <v>45727</v>
      </c>
      <c r="F10" s="74">
        <f t="shared" si="0"/>
        <v>45788</v>
      </c>
      <c r="G10" s="59" t="s">
        <v>484</v>
      </c>
      <c r="H10" s="59"/>
      <c r="I10" s="59"/>
      <c r="J10" s="61"/>
      <c r="K10" s="98"/>
      <c r="L10" s="98" t="s">
        <v>334</v>
      </c>
      <c r="M10" s="98"/>
      <c r="N10" s="99"/>
      <c r="O10" s="99" t="s">
        <v>334</v>
      </c>
      <c r="P10" s="99"/>
      <c r="Q10" s="100"/>
      <c r="R10" s="100"/>
      <c r="S10" s="100"/>
      <c r="T10" s="101"/>
      <c r="U10" s="101"/>
      <c r="V10" s="101"/>
    </row>
    <row r="11" spans="1:22" ht="18.5">
      <c r="A11" s="56" t="s">
        <v>10</v>
      </c>
      <c r="B11" s="58" t="s">
        <v>149</v>
      </c>
      <c r="C11" s="58" t="s">
        <v>137</v>
      </c>
      <c r="D11" s="58" t="s">
        <v>138</v>
      </c>
      <c r="E11" s="11">
        <v>45727</v>
      </c>
      <c r="F11" s="73">
        <f t="shared" si="0"/>
        <v>45788</v>
      </c>
      <c r="G11" s="58" t="s">
        <v>484</v>
      </c>
      <c r="H11" s="58"/>
      <c r="I11" s="58"/>
      <c r="J11" s="63"/>
      <c r="K11" s="94"/>
      <c r="L11" s="94" t="s">
        <v>334</v>
      </c>
      <c r="M11" s="94"/>
      <c r="N11" s="95"/>
      <c r="O11" s="95" t="s">
        <v>334</v>
      </c>
      <c r="P11" s="95"/>
      <c r="Q11" s="96"/>
      <c r="R11" s="96"/>
      <c r="S11" s="96"/>
      <c r="T11" s="97"/>
      <c r="U11" s="97"/>
      <c r="V11" s="97"/>
    </row>
    <row r="12" spans="1:22" ht="19" thickBot="1">
      <c r="A12" s="56" t="s">
        <v>10</v>
      </c>
      <c r="B12" s="58" t="s">
        <v>150</v>
      </c>
      <c r="C12" s="58" t="s">
        <v>137</v>
      </c>
      <c r="D12" s="58" t="s">
        <v>138</v>
      </c>
      <c r="E12" s="11">
        <v>45727</v>
      </c>
      <c r="F12" s="73">
        <f t="shared" si="0"/>
        <v>45788</v>
      </c>
      <c r="G12" s="58" t="s">
        <v>484</v>
      </c>
      <c r="H12" s="58"/>
      <c r="I12" s="58"/>
      <c r="J12" s="63"/>
      <c r="K12" s="94"/>
      <c r="L12" s="94" t="s">
        <v>334</v>
      </c>
      <c r="M12" s="94"/>
      <c r="N12" s="95"/>
      <c r="O12" s="95" t="s">
        <v>334</v>
      </c>
      <c r="P12" s="95"/>
      <c r="Q12" s="96"/>
      <c r="R12" s="96"/>
      <c r="S12" s="96"/>
      <c r="T12" s="97"/>
      <c r="U12" s="97"/>
      <c r="V12" s="97"/>
    </row>
    <row r="13" spans="1:22" s="66" customFormat="1" ht="18.5">
      <c r="A13" s="416" t="s">
        <v>10</v>
      </c>
      <c r="B13" s="374" t="s">
        <v>151</v>
      </c>
      <c r="C13" s="374" t="s">
        <v>137</v>
      </c>
      <c r="D13" s="374" t="s">
        <v>138</v>
      </c>
      <c r="E13" s="11">
        <v>45727</v>
      </c>
      <c r="F13" s="11">
        <f t="shared" si="0"/>
        <v>45788</v>
      </c>
      <c r="G13" s="3" t="s">
        <v>484</v>
      </c>
      <c r="H13" s="3"/>
      <c r="I13" s="3"/>
      <c r="J13" s="4"/>
      <c r="K13" s="38"/>
      <c r="L13" s="38" t="s">
        <v>334</v>
      </c>
      <c r="M13" s="38"/>
      <c r="N13" s="36"/>
      <c r="O13" s="36" t="s">
        <v>334</v>
      </c>
      <c r="P13" s="36"/>
      <c r="Q13" s="91"/>
      <c r="R13" s="91"/>
      <c r="S13" s="91"/>
      <c r="T13" s="39"/>
      <c r="U13" s="39"/>
      <c r="V13" s="39"/>
    </row>
    <row r="14" spans="1:22" s="72" customFormat="1" ht="19" thickBot="1">
      <c r="A14" s="416"/>
      <c r="B14" s="374" t="s">
        <v>151</v>
      </c>
      <c r="C14" s="374" t="s">
        <v>137</v>
      </c>
      <c r="D14" s="374" t="s">
        <v>138</v>
      </c>
      <c r="E14" s="11">
        <v>45727</v>
      </c>
      <c r="F14" s="11">
        <f t="shared" si="0"/>
        <v>45788</v>
      </c>
      <c r="G14" s="3" t="s">
        <v>147</v>
      </c>
      <c r="H14" s="3"/>
      <c r="I14" s="3"/>
      <c r="J14" s="4"/>
      <c r="K14" s="37"/>
      <c r="L14" s="38" t="s">
        <v>334</v>
      </c>
      <c r="M14" s="38"/>
      <c r="N14" s="38"/>
      <c r="O14" s="36" t="s">
        <v>334</v>
      </c>
      <c r="P14" s="36"/>
      <c r="Q14" s="36"/>
      <c r="R14" s="91"/>
      <c r="S14" s="91"/>
      <c r="T14" s="91"/>
      <c r="U14" s="39"/>
      <c r="V14" s="37"/>
    </row>
    <row r="15" spans="1:22" ht="19" thickBot="1">
      <c r="A15" s="57" t="s">
        <v>10</v>
      </c>
      <c r="B15" s="59" t="s">
        <v>152</v>
      </c>
      <c r="C15" s="59" t="s">
        <v>137</v>
      </c>
      <c r="D15" s="59" t="s">
        <v>138</v>
      </c>
      <c r="E15" s="11">
        <v>45727</v>
      </c>
      <c r="F15" s="74">
        <f t="shared" si="0"/>
        <v>45788</v>
      </c>
      <c r="G15" s="3" t="s">
        <v>484</v>
      </c>
      <c r="H15" s="59"/>
      <c r="I15" s="59"/>
      <c r="J15" s="61"/>
      <c r="K15" s="98"/>
      <c r="L15" s="98" t="s">
        <v>334</v>
      </c>
      <c r="M15" s="98"/>
      <c r="N15" s="99"/>
      <c r="O15" s="99" t="s">
        <v>334</v>
      </c>
      <c r="P15" s="99"/>
      <c r="Q15" s="100"/>
      <c r="R15" s="100"/>
      <c r="S15" s="100"/>
      <c r="T15" s="101"/>
      <c r="U15" s="101"/>
      <c r="V15" s="101"/>
    </row>
    <row r="16" spans="1:22" ht="19" thickBot="1">
      <c r="A16" s="18" t="s">
        <v>10</v>
      </c>
      <c r="B16" s="3" t="s">
        <v>153</v>
      </c>
      <c r="C16" s="3" t="s">
        <v>137</v>
      </c>
      <c r="D16" s="3" t="s">
        <v>138</v>
      </c>
      <c r="E16" s="11">
        <v>45727</v>
      </c>
      <c r="F16" s="11">
        <f t="shared" si="0"/>
        <v>45788</v>
      </c>
      <c r="G16" s="3" t="s">
        <v>484</v>
      </c>
      <c r="H16" s="3"/>
      <c r="I16" s="3"/>
      <c r="J16" s="4"/>
      <c r="K16" s="70"/>
      <c r="L16" s="70" t="s">
        <v>334</v>
      </c>
      <c r="M16" s="70"/>
      <c r="N16" s="36"/>
      <c r="O16" s="36" t="s">
        <v>334</v>
      </c>
      <c r="P16" s="36"/>
      <c r="Q16" s="91"/>
      <c r="R16" s="91"/>
      <c r="S16" s="91"/>
      <c r="T16" s="71"/>
      <c r="U16" s="71"/>
      <c r="V16" s="71"/>
    </row>
    <row r="17" spans="1:22" ht="19" thickBot="1">
      <c r="A17" s="18" t="s">
        <v>162</v>
      </c>
      <c r="B17" s="3" t="s">
        <v>302</v>
      </c>
      <c r="C17" s="3" t="s">
        <v>137</v>
      </c>
      <c r="D17" s="3" t="s">
        <v>138</v>
      </c>
      <c r="E17" s="11">
        <v>45727</v>
      </c>
      <c r="F17" s="11">
        <f t="shared" si="0"/>
        <v>45788</v>
      </c>
      <c r="G17" s="3" t="s">
        <v>484</v>
      </c>
      <c r="H17" s="3"/>
      <c r="I17" s="3"/>
      <c r="J17" s="4"/>
      <c r="K17" s="70"/>
      <c r="L17" s="70" t="s">
        <v>334</v>
      </c>
      <c r="M17" s="70"/>
      <c r="N17" s="36"/>
      <c r="O17" s="36" t="s">
        <v>334</v>
      </c>
      <c r="P17" s="36"/>
      <c r="Q17" s="91"/>
      <c r="R17" s="91"/>
      <c r="S17" s="91"/>
      <c r="T17" s="71"/>
      <c r="U17" s="71"/>
      <c r="V17" s="71"/>
    </row>
    <row r="18" spans="1:22" ht="19" thickBot="1">
      <c r="A18" s="18" t="s">
        <v>10</v>
      </c>
      <c r="B18" s="3" t="s">
        <v>154</v>
      </c>
      <c r="C18" s="3" t="s">
        <v>137</v>
      </c>
      <c r="D18" s="3" t="s">
        <v>138</v>
      </c>
      <c r="E18" s="11">
        <v>45727</v>
      </c>
      <c r="F18" s="11">
        <f t="shared" si="0"/>
        <v>45788</v>
      </c>
      <c r="G18" s="3" t="s">
        <v>484</v>
      </c>
      <c r="H18" s="3"/>
      <c r="I18" s="3"/>
      <c r="J18" s="4"/>
      <c r="K18" s="70"/>
      <c r="L18" s="70" t="s">
        <v>334</v>
      </c>
      <c r="M18" s="70"/>
      <c r="N18" s="36"/>
      <c r="O18" s="36" t="s">
        <v>334</v>
      </c>
      <c r="P18" s="36"/>
      <c r="Q18" s="91"/>
      <c r="R18" s="91"/>
      <c r="S18" s="91"/>
      <c r="T18" s="71"/>
      <c r="U18" s="71"/>
      <c r="V18" s="71"/>
    </row>
    <row r="19" spans="1:22" ht="19" thickBot="1">
      <c r="A19" s="19" t="s">
        <v>24</v>
      </c>
      <c r="B19" s="110" t="s">
        <v>155</v>
      </c>
      <c r="C19" s="3" t="s">
        <v>137</v>
      </c>
      <c r="D19" s="3" t="s">
        <v>138</v>
      </c>
      <c r="E19" s="11">
        <v>44764</v>
      </c>
      <c r="F19" s="11">
        <f t="shared" ref="F19:F33" si="1">E19+61</f>
        <v>44825</v>
      </c>
      <c r="G19" s="3" t="s">
        <v>332</v>
      </c>
      <c r="H19" s="3"/>
      <c r="I19" s="3"/>
      <c r="J19" s="4"/>
      <c r="K19" s="70"/>
      <c r="L19" s="70" t="s">
        <v>334</v>
      </c>
      <c r="M19" s="70"/>
      <c r="N19" s="36"/>
      <c r="O19" s="36" t="s">
        <v>334</v>
      </c>
      <c r="P19" s="36"/>
      <c r="Q19" s="91"/>
      <c r="R19" s="91"/>
      <c r="S19" s="91"/>
      <c r="T19" s="71"/>
      <c r="U19" s="71"/>
      <c r="V19" s="71"/>
    </row>
    <row r="20" spans="1:22" s="87" customFormat="1" ht="19" thickBot="1">
      <c r="A20" s="27" t="s">
        <v>24</v>
      </c>
      <c r="B20" s="27" t="s">
        <v>342</v>
      </c>
      <c r="C20" s="27" t="s">
        <v>137</v>
      </c>
      <c r="D20" s="27" t="s">
        <v>138</v>
      </c>
      <c r="E20" s="84">
        <v>44764</v>
      </c>
      <c r="F20" s="84">
        <f t="shared" si="1"/>
        <v>44825</v>
      </c>
      <c r="G20" s="27" t="s">
        <v>332</v>
      </c>
      <c r="H20" s="27"/>
      <c r="I20" s="27"/>
      <c r="J20" s="85"/>
      <c r="K20" s="137"/>
      <c r="L20" s="137" t="s">
        <v>334</v>
      </c>
      <c r="M20" s="137"/>
      <c r="N20" s="138"/>
      <c r="O20" s="138"/>
      <c r="P20" s="138"/>
      <c r="Q20" s="138"/>
      <c r="R20" s="138"/>
      <c r="S20" s="138"/>
      <c r="T20" s="139"/>
      <c r="U20" s="139"/>
      <c r="V20" s="139"/>
    </row>
    <row r="21" spans="1:22" ht="18">
      <c r="A21" s="388" t="s">
        <v>37</v>
      </c>
      <c r="B21" s="3" t="s">
        <v>156</v>
      </c>
      <c r="C21" s="3" t="s">
        <v>137</v>
      </c>
      <c r="D21" s="3" t="s">
        <v>138</v>
      </c>
      <c r="E21" s="11"/>
      <c r="F21" s="11">
        <f t="shared" si="1"/>
        <v>61</v>
      </c>
      <c r="G21" s="3" t="s">
        <v>135</v>
      </c>
      <c r="H21" s="3"/>
      <c r="I21" s="3"/>
      <c r="J21" s="371"/>
      <c r="K21" s="44"/>
      <c r="L21" s="44" t="s">
        <v>317</v>
      </c>
      <c r="M21" s="45"/>
      <c r="N21" s="45"/>
      <c r="O21" s="45" t="s">
        <v>317</v>
      </c>
      <c r="P21" s="46"/>
      <c r="Q21" s="46"/>
      <c r="R21" s="46" t="s">
        <v>317</v>
      </c>
      <c r="S21" s="47"/>
      <c r="T21" s="47"/>
      <c r="U21" s="47" t="s">
        <v>317</v>
      </c>
      <c r="V21" s="44"/>
    </row>
    <row r="22" spans="1:22" ht="18">
      <c r="A22" s="389"/>
      <c r="B22" s="3" t="s">
        <v>156</v>
      </c>
      <c r="C22" s="3" t="s">
        <v>137</v>
      </c>
      <c r="D22" s="3" t="s">
        <v>138</v>
      </c>
      <c r="E22" s="11"/>
      <c r="F22" s="11">
        <f t="shared" si="1"/>
        <v>61</v>
      </c>
      <c r="G22" s="3" t="s">
        <v>157</v>
      </c>
      <c r="H22" s="3"/>
      <c r="I22" s="3"/>
      <c r="J22" s="372"/>
      <c r="K22" s="48"/>
      <c r="L22" s="41" t="s">
        <v>318</v>
      </c>
      <c r="M22" s="41"/>
      <c r="N22" s="41"/>
      <c r="O22" s="42" t="s">
        <v>319</v>
      </c>
      <c r="P22" s="42"/>
      <c r="Q22" s="42"/>
      <c r="R22" s="43" t="s">
        <v>320</v>
      </c>
      <c r="S22" s="43"/>
      <c r="T22" s="43"/>
      <c r="U22" s="48" t="s">
        <v>320</v>
      </c>
      <c r="V22" s="48"/>
    </row>
    <row r="23" spans="1:22" ht="18">
      <c r="A23" s="390"/>
      <c r="B23" s="3" t="s">
        <v>156</v>
      </c>
      <c r="C23" s="3" t="s">
        <v>137</v>
      </c>
      <c r="D23" s="3" t="s">
        <v>138</v>
      </c>
      <c r="E23" s="11"/>
      <c r="F23" s="11">
        <f t="shared" si="1"/>
        <v>61</v>
      </c>
      <c r="G23" s="3" t="s">
        <v>158</v>
      </c>
      <c r="H23" s="3"/>
      <c r="I23" s="3"/>
      <c r="J23" s="373"/>
      <c r="K23" s="49"/>
      <c r="L23" s="49"/>
      <c r="M23" s="50"/>
      <c r="N23" s="50"/>
      <c r="O23" s="50"/>
      <c r="P23" s="40"/>
      <c r="Q23" s="40"/>
      <c r="R23" s="40"/>
      <c r="S23" s="51"/>
      <c r="T23" s="51"/>
      <c r="U23" s="51"/>
      <c r="V23" s="49"/>
    </row>
    <row r="24" spans="1:22" ht="18">
      <c r="A24" s="388" t="s">
        <v>37</v>
      </c>
      <c r="B24" s="3" t="s">
        <v>136</v>
      </c>
      <c r="C24" s="3" t="s">
        <v>137</v>
      </c>
      <c r="D24" s="3" t="s">
        <v>138</v>
      </c>
      <c r="E24" s="11"/>
      <c r="F24" s="11">
        <f t="shared" si="1"/>
        <v>61</v>
      </c>
      <c r="G24" s="3" t="s">
        <v>159</v>
      </c>
      <c r="H24" s="3"/>
      <c r="I24" s="3"/>
      <c r="J24" s="371">
        <v>226</v>
      </c>
      <c r="K24" s="40"/>
      <c r="L24" s="40"/>
      <c r="M24" s="41"/>
      <c r="N24" s="41"/>
      <c r="O24" s="41"/>
      <c r="P24" s="42"/>
      <c r="Q24" s="42"/>
      <c r="R24" s="42"/>
      <c r="S24" s="43"/>
      <c r="T24" s="43"/>
      <c r="U24" s="43"/>
      <c r="V24" s="40"/>
    </row>
    <row r="25" spans="1:22" ht="18">
      <c r="A25" s="389"/>
      <c r="B25" s="3" t="s">
        <v>136</v>
      </c>
      <c r="C25" s="3" t="s">
        <v>137</v>
      </c>
      <c r="D25" s="3" t="s">
        <v>138</v>
      </c>
      <c r="E25" s="11"/>
      <c r="F25" s="11">
        <f t="shared" si="1"/>
        <v>61</v>
      </c>
      <c r="G25" s="3" t="s">
        <v>135</v>
      </c>
      <c r="H25" s="3"/>
      <c r="I25" s="3"/>
      <c r="J25" s="372"/>
      <c r="K25" s="44"/>
      <c r="L25" s="44" t="s">
        <v>317</v>
      </c>
      <c r="M25" s="45"/>
      <c r="N25" s="45"/>
      <c r="O25" s="45" t="s">
        <v>317</v>
      </c>
      <c r="P25" s="46"/>
      <c r="Q25" s="46"/>
      <c r="R25" s="46" t="s">
        <v>317</v>
      </c>
      <c r="S25" s="47"/>
      <c r="T25" s="47"/>
      <c r="U25" s="47" t="s">
        <v>317</v>
      </c>
      <c r="V25" s="44"/>
    </row>
    <row r="26" spans="1:22" ht="18">
      <c r="A26" s="389"/>
      <c r="B26" s="3" t="s">
        <v>136</v>
      </c>
      <c r="C26" s="3" t="s">
        <v>137</v>
      </c>
      <c r="D26" s="3" t="s">
        <v>138</v>
      </c>
      <c r="E26" s="11"/>
      <c r="F26" s="11">
        <f t="shared" si="1"/>
        <v>61</v>
      </c>
      <c r="G26" s="3" t="s">
        <v>157</v>
      </c>
      <c r="H26" s="3"/>
      <c r="I26" s="3"/>
      <c r="J26" s="372"/>
      <c r="K26" s="48"/>
      <c r="L26" s="41" t="s">
        <v>318</v>
      </c>
      <c r="M26" s="41"/>
      <c r="N26" s="41"/>
      <c r="O26" s="42" t="s">
        <v>319</v>
      </c>
      <c r="P26" s="42"/>
      <c r="Q26" s="42"/>
      <c r="R26" s="43" t="s">
        <v>320</v>
      </c>
      <c r="S26" s="43"/>
      <c r="T26" s="43"/>
      <c r="U26" s="48" t="s">
        <v>320</v>
      </c>
      <c r="V26" s="48"/>
    </row>
    <row r="27" spans="1:22" ht="18">
      <c r="A27" s="390"/>
      <c r="B27" s="3" t="s">
        <v>136</v>
      </c>
      <c r="C27" s="3" t="s">
        <v>137</v>
      </c>
      <c r="D27" s="3" t="s">
        <v>138</v>
      </c>
      <c r="E27" s="11"/>
      <c r="F27" s="11">
        <f t="shared" si="1"/>
        <v>61</v>
      </c>
      <c r="G27" s="3" t="s">
        <v>158</v>
      </c>
      <c r="H27" s="3"/>
      <c r="I27" s="3"/>
      <c r="J27" s="373"/>
      <c r="K27" s="49"/>
      <c r="L27" s="49"/>
      <c r="M27" s="50"/>
      <c r="N27" s="50"/>
      <c r="O27" s="50"/>
      <c r="P27" s="40"/>
      <c r="Q27" s="40"/>
      <c r="R27" s="40"/>
      <c r="S27" s="51"/>
      <c r="T27" s="51"/>
      <c r="U27" s="51"/>
      <c r="V27" s="49"/>
    </row>
    <row r="28" spans="1:22" s="87" customFormat="1" ht="18">
      <c r="A28" s="409" t="s">
        <v>37</v>
      </c>
      <c r="B28" s="27" t="s">
        <v>160</v>
      </c>
      <c r="C28" s="27" t="s">
        <v>137</v>
      </c>
      <c r="D28" s="27" t="s">
        <v>138</v>
      </c>
      <c r="E28" s="84"/>
      <c r="F28" s="84">
        <f t="shared" si="1"/>
        <v>61</v>
      </c>
      <c r="G28" s="27" t="s">
        <v>159</v>
      </c>
      <c r="H28" s="27"/>
      <c r="I28" s="27"/>
      <c r="J28" s="85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</row>
    <row r="29" spans="1:22" s="87" customFormat="1" ht="18">
      <c r="A29" s="410"/>
      <c r="B29" s="27" t="s">
        <v>160</v>
      </c>
      <c r="C29" s="27" t="s">
        <v>137</v>
      </c>
      <c r="D29" s="27" t="s">
        <v>138</v>
      </c>
      <c r="E29" s="84"/>
      <c r="F29" s="84">
        <f t="shared" si="1"/>
        <v>61</v>
      </c>
      <c r="G29" s="27" t="s">
        <v>135</v>
      </c>
      <c r="H29" s="27"/>
      <c r="I29" s="27"/>
      <c r="J29" s="85"/>
      <c r="K29" s="88"/>
      <c r="L29" s="88" t="s">
        <v>317</v>
      </c>
      <c r="M29" s="88"/>
      <c r="N29" s="88"/>
      <c r="O29" s="88" t="s">
        <v>317</v>
      </c>
      <c r="P29" s="88"/>
      <c r="Q29" s="88"/>
      <c r="R29" s="88" t="s">
        <v>317</v>
      </c>
      <c r="S29" s="88"/>
      <c r="T29" s="88"/>
      <c r="U29" s="88" t="s">
        <v>317</v>
      </c>
      <c r="V29" s="88"/>
    </row>
    <row r="30" spans="1:22" s="87" customFormat="1" ht="18">
      <c r="A30" s="410"/>
      <c r="B30" s="27" t="s">
        <v>160</v>
      </c>
      <c r="C30" s="27" t="s">
        <v>137</v>
      </c>
      <c r="D30" s="27" t="s">
        <v>138</v>
      </c>
      <c r="E30" s="84"/>
      <c r="F30" s="84">
        <f t="shared" si="1"/>
        <v>61</v>
      </c>
      <c r="G30" s="27" t="s">
        <v>157</v>
      </c>
      <c r="H30" s="27"/>
      <c r="I30" s="27"/>
      <c r="J30" s="85"/>
      <c r="K30" s="86"/>
      <c r="L30" s="86" t="s">
        <v>318</v>
      </c>
      <c r="M30" s="86"/>
      <c r="N30" s="86"/>
      <c r="O30" s="86" t="s">
        <v>319</v>
      </c>
      <c r="P30" s="86"/>
      <c r="Q30" s="86"/>
      <c r="R30" s="86" t="s">
        <v>320</v>
      </c>
      <c r="S30" s="86"/>
      <c r="T30" s="86"/>
      <c r="U30" s="86" t="s">
        <v>320</v>
      </c>
      <c r="V30" s="86"/>
    </row>
    <row r="31" spans="1:22" s="87" customFormat="1" ht="18">
      <c r="A31" s="411"/>
      <c r="B31" s="27" t="s">
        <v>160</v>
      </c>
      <c r="C31" s="27" t="s">
        <v>137</v>
      </c>
      <c r="D31" s="27" t="s">
        <v>138</v>
      </c>
      <c r="E31" s="84"/>
      <c r="F31" s="84">
        <f t="shared" si="1"/>
        <v>61</v>
      </c>
      <c r="G31" s="27" t="s">
        <v>158</v>
      </c>
      <c r="H31" s="27"/>
      <c r="I31" s="27"/>
      <c r="J31" s="85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</row>
    <row r="32" spans="1:22" s="87" customFormat="1" ht="18">
      <c r="A32" s="27" t="s">
        <v>58</v>
      </c>
      <c r="B32" s="27" t="s">
        <v>155</v>
      </c>
      <c r="C32" s="27" t="s">
        <v>137</v>
      </c>
      <c r="D32" s="27" t="s">
        <v>138</v>
      </c>
      <c r="E32" s="84"/>
      <c r="F32" s="84">
        <f t="shared" si="1"/>
        <v>61</v>
      </c>
      <c r="G32" s="27" t="s">
        <v>161</v>
      </c>
      <c r="H32" s="27"/>
      <c r="I32" s="27"/>
      <c r="J32" s="85"/>
      <c r="K32" s="86"/>
      <c r="L32" s="86"/>
      <c r="M32" s="86" t="s">
        <v>321</v>
      </c>
      <c r="N32" s="86"/>
      <c r="O32" s="86"/>
      <c r="P32" s="86" t="s">
        <v>321</v>
      </c>
      <c r="Q32" s="86"/>
      <c r="R32" s="86"/>
      <c r="S32" s="86" t="s">
        <v>321</v>
      </c>
      <c r="T32" s="86"/>
      <c r="U32" s="86"/>
      <c r="V32" s="86" t="s">
        <v>321</v>
      </c>
    </row>
    <row r="33" spans="1:22" s="87" customFormat="1" ht="18">
      <c r="A33" s="27" t="s">
        <v>58</v>
      </c>
      <c r="B33" s="27" t="s">
        <v>136</v>
      </c>
      <c r="C33" s="27" t="s">
        <v>137</v>
      </c>
      <c r="D33" s="27" t="s">
        <v>138</v>
      </c>
      <c r="E33" s="84"/>
      <c r="F33" s="84">
        <f t="shared" si="1"/>
        <v>61</v>
      </c>
      <c r="G33" s="27" t="s">
        <v>161</v>
      </c>
      <c r="H33" s="27"/>
      <c r="I33" s="27"/>
      <c r="J33" s="85"/>
      <c r="K33" s="86"/>
      <c r="L33" s="86"/>
      <c r="M33" s="86" t="s">
        <v>321</v>
      </c>
      <c r="N33" s="86"/>
      <c r="O33" s="86"/>
      <c r="P33" s="86" t="s">
        <v>321</v>
      </c>
      <c r="Q33" s="86"/>
      <c r="R33" s="86"/>
      <c r="S33" s="86" t="s">
        <v>321</v>
      </c>
      <c r="T33" s="86"/>
      <c r="U33" s="86"/>
      <c r="V33" s="86" t="s">
        <v>321</v>
      </c>
    </row>
  </sheetData>
  <autoFilter ref="A1:J1" xr:uid="{00000000-0001-0000-0100-000000000000}"/>
  <mergeCells count="17">
    <mergeCell ref="J24:J27"/>
    <mergeCell ref="J21:J23"/>
    <mergeCell ref="A5:A6"/>
    <mergeCell ref="B5:B6"/>
    <mergeCell ref="C5:C6"/>
    <mergeCell ref="D5:D6"/>
    <mergeCell ref="A21:A23"/>
    <mergeCell ref="D8:D9"/>
    <mergeCell ref="D13:D14"/>
    <mergeCell ref="A24:A27"/>
    <mergeCell ref="A28:A31"/>
    <mergeCell ref="B8:B9"/>
    <mergeCell ref="A8:A9"/>
    <mergeCell ref="C8:C9"/>
    <mergeCell ref="A13:A14"/>
    <mergeCell ref="B13:B14"/>
    <mergeCell ref="C13:C14"/>
  </mergeCells>
  <phoneticPr fontId="1" type="noConversion"/>
  <conditionalFormatting sqref="M32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{90E542F1-BB99-4A28-8AB8-96C3B4B7D84A}</x14:id>
        </ext>
      </extLst>
    </cfRule>
    <cfRule type="colorScale" priority="4">
      <colorScale>
        <cfvo type="num" val="0"/>
        <cfvo type="num" val="0"/>
        <color rgb="FFFF7128"/>
        <color rgb="FFFFEF9C"/>
      </colorScale>
    </cfRule>
  </conditionalFormatting>
  <conditionalFormatting sqref="M3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{EC8F6F01-6B43-4AC2-B4AA-CF419F211B62}</x14:id>
        </ext>
      </extLst>
    </cfRule>
    <cfRule type="colorScale" priority="2">
      <colorScale>
        <cfvo type="num" val="0"/>
        <cfvo type="num" val="0"/>
        <color rgb="FFFF7128"/>
        <color rgb="FFFFEF9C"/>
      </colorScale>
    </cfRule>
  </conditionalFormatting>
  <dataValidations count="1">
    <dataValidation type="list" allowBlank="1" showInputMessage="1" showErrorMessage="1" sqref="A32:A102 A10:A13 A15:A21 A24 A28 A2:A5 A7:A8" xr:uid="{00000000-0002-0000-0100-000000000000}">
      <formula1>"POST,HNCB,FCB,BOT,NET"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0E542F1-BB99-4A28-8AB8-96C3B4B7D8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M32</xm:sqref>
        </x14:conditionalFormatting>
        <x14:conditionalFormatting xmlns:xm="http://schemas.microsoft.com/office/excel/2006/main">
          <x14:cfRule type="dataBar" id="{EC8F6F01-6B43-4AC2-B4AA-CF419F211B6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M33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C4091-4217-47E9-8364-1353024799FA}">
  <sheetPr>
    <tabColor theme="9"/>
  </sheetPr>
  <dimension ref="A1:AK39"/>
  <sheetViews>
    <sheetView zoomScale="76" zoomScaleNormal="80" workbookViewId="0">
      <pane xSplit="7" topLeftCell="K1" activePane="topRight" state="frozen"/>
      <selection pane="topRight" activeCell="F7" sqref="F7"/>
    </sheetView>
  </sheetViews>
  <sheetFormatPr defaultColWidth="10.81640625" defaultRowHeight="17"/>
  <cols>
    <col min="1" max="1" width="10.81640625" style="2"/>
    <col min="2" max="2" width="26.6328125" style="2" customWidth="1"/>
    <col min="3" max="4" width="12.81640625" style="2" customWidth="1"/>
    <col min="5" max="5" width="16.08984375" style="78" customWidth="1"/>
    <col min="6" max="6" width="17.7265625" style="78" customWidth="1"/>
    <col min="7" max="7" width="18.453125" style="2" customWidth="1"/>
    <col min="8" max="9" width="14.08984375" style="2" customWidth="1"/>
    <col min="10" max="10" width="32.6328125" style="1" customWidth="1"/>
    <col min="23" max="23" width="10.81640625" style="156"/>
  </cols>
  <sheetData>
    <row r="1" spans="1:37" ht="18.5">
      <c r="A1" s="20" t="s">
        <v>0</v>
      </c>
      <c r="B1" s="20" t="s">
        <v>1</v>
      </c>
      <c r="C1" s="20" t="s">
        <v>2</v>
      </c>
      <c r="D1" s="20" t="s">
        <v>3</v>
      </c>
      <c r="E1" s="77" t="s">
        <v>9</v>
      </c>
      <c r="F1" s="77" t="s">
        <v>333</v>
      </c>
      <c r="G1" s="20" t="s">
        <v>4</v>
      </c>
      <c r="H1" s="20" t="s">
        <v>5</v>
      </c>
      <c r="I1" s="20" t="s">
        <v>6</v>
      </c>
      <c r="J1" s="20" t="s">
        <v>7</v>
      </c>
      <c r="K1" s="35" t="s">
        <v>305</v>
      </c>
      <c r="L1" s="35" t="s">
        <v>306</v>
      </c>
      <c r="M1" s="35" t="s">
        <v>307</v>
      </c>
      <c r="N1" s="35" t="s">
        <v>308</v>
      </c>
      <c r="O1" s="35" t="s">
        <v>309</v>
      </c>
      <c r="P1" s="35" t="s">
        <v>310</v>
      </c>
      <c r="Q1" s="35" t="s">
        <v>311</v>
      </c>
      <c r="R1" s="35" t="s">
        <v>312</v>
      </c>
      <c r="S1" s="35" t="s">
        <v>313</v>
      </c>
      <c r="T1" s="35" t="s">
        <v>314</v>
      </c>
      <c r="U1" s="35" t="s">
        <v>315</v>
      </c>
      <c r="V1" s="155" t="s">
        <v>316</v>
      </c>
    </row>
    <row r="2" spans="1:37" s="146" customFormat="1" ht="19" thickBot="1">
      <c r="A2" s="143" t="s">
        <v>10</v>
      </c>
      <c r="B2" s="349" t="s">
        <v>365</v>
      </c>
      <c r="C2" s="15" t="s">
        <v>366</v>
      </c>
      <c r="D2" s="15" t="s">
        <v>367</v>
      </c>
      <c r="E2" s="144">
        <v>45730</v>
      </c>
      <c r="F2" s="144">
        <f>E2+61</f>
        <v>45791</v>
      </c>
      <c r="G2" s="15" t="s">
        <v>353</v>
      </c>
      <c r="H2" s="144">
        <v>43009</v>
      </c>
      <c r="I2" s="144">
        <v>44834</v>
      </c>
      <c r="J2" s="145" t="s">
        <v>368</v>
      </c>
      <c r="K2" s="69"/>
      <c r="L2" s="70" t="s">
        <v>334</v>
      </c>
      <c r="M2" s="70"/>
      <c r="N2" s="70"/>
      <c r="O2" s="106"/>
      <c r="P2" s="106" t="s">
        <v>335</v>
      </c>
      <c r="Q2" s="106"/>
      <c r="R2" s="107"/>
      <c r="S2" s="107"/>
      <c r="T2" s="107"/>
      <c r="U2" s="71"/>
      <c r="V2" s="153"/>
      <c r="W2" s="157"/>
      <c r="AK2" s="146">
        <v>123</v>
      </c>
    </row>
    <row r="3" spans="1:37" s="146" customFormat="1" ht="19" thickBot="1">
      <c r="A3" s="143" t="s">
        <v>10</v>
      </c>
      <c r="B3" s="349" t="s">
        <v>369</v>
      </c>
      <c r="C3" s="15" t="s">
        <v>366</v>
      </c>
      <c r="D3" s="15" t="s">
        <v>367</v>
      </c>
      <c r="E3" s="144">
        <v>45730</v>
      </c>
      <c r="F3" s="144">
        <f t="shared" ref="F3:F30" si="0">E3+61</f>
        <v>45791</v>
      </c>
      <c r="G3" s="15" t="s">
        <v>484</v>
      </c>
      <c r="H3" s="144">
        <v>43009</v>
      </c>
      <c r="I3" s="144">
        <v>44834</v>
      </c>
      <c r="J3" s="145"/>
      <c r="K3" s="98"/>
      <c r="L3" s="98" t="s">
        <v>334</v>
      </c>
      <c r="M3" s="98"/>
      <c r="N3" s="99"/>
      <c r="O3" s="99"/>
      <c r="P3" s="99" t="s">
        <v>334</v>
      </c>
      <c r="Q3" s="100"/>
      <c r="R3" s="100"/>
      <c r="S3" s="100"/>
      <c r="T3" s="101"/>
      <c r="U3" s="101"/>
      <c r="V3" s="101"/>
      <c r="W3" s="157"/>
    </row>
    <row r="4" spans="1:37" s="146" customFormat="1" ht="19" thickBot="1">
      <c r="A4" s="147" t="s">
        <v>10</v>
      </c>
      <c r="B4" s="349" t="s">
        <v>370</v>
      </c>
      <c r="C4" s="15" t="s">
        <v>366</v>
      </c>
      <c r="D4" s="15" t="s">
        <v>367</v>
      </c>
      <c r="E4" s="144">
        <v>45730</v>
      </c>
      <c r="F4" s="144">
        <f t="shared" si="0"/>
        <v>45791</v>
      </c>
      <c r="G4" s="15" t="s">
        <v>484</v>
      </c>
      <c r="H4" s="144">
        <v>43009</v>
      </c>
      <c r="I4" s="144">
        <v>44834</v>
      </c>
      <c r="J4" s="145" t="s">
        <v>371</v>
      </c>
      <c r="K4" s="98"/>
      <c r="L4" s="98" t="s">
        <v>334</v>
      </c>
      <c r="M4" s="98"/>
      <c r="N4" s="99"/>
      <c r="O4" s="99"/>
      <c r="P4" s="99" t="s">
        <v>334</v>
      </c>
      <c r="Q4" s="100"/>
      <c r="R4" s="100"/>
      <c r="S4" s="100"/>
      <c r="T4" s="101"/>
      <c r="U4" s="101"/>
      <c r="V4" s="101"/>
      <c r="W4" s="157"/>
    </row>
    <row r="5" spans="1:37" s="146" customFormat="1" ht="19" thickBot="1">
      <c r="A5" s="147" t="s">
        <v>10</v>
      </c>
      <c r="B5" s="349" t="s">
        <v>372</v>
      </c>
      <c r="C5" s="15" t="s">
        <v>366</v>
      </c>
      <c r="D5" s="15" t="s">
        <v>367</v>
      </c>
      <c r="E5" s="144">
        <v>45730</v>
      </c>
      <c r="F5" s="144">
        <f t="shared" si="0"/>
        <v>45791</v>
      </c>
      <c r="G5" s="15" t="s">
        <v>484</v>
      </c>
      <c r="H5" s="144">
        <v>43009</v>
      </c>
      <c r="I5" s="144">
        <v>44834</v>
      </c>
      <c r="J5" s="145" t="s">
        <v>373</v>
      </c>
      <c r="K5" s="98"/>
      <c r="L5" s="98" t="s">
        <v>334</v>
      </c>
      <c r="M5" s="98"/>
      <c r="N5" s="99"/>
      <c r="O5" s="99"/>
      <c r="P5" s="99" t="s">
        <v>334</v>
      </c>
      <c r="Q5" s="100"/>
      <c r="R5" s="100"/>
      <c r="S5" s="100"/>
      <c r="T5" s="101"/>
      <c r="U5" s="101"/>
      <c r="V5" s="101"/>
      <c r="W5" s="157"/>
    </row>
    <row r="6" spans="1:37" s="146" customFormat="1" ht="19" thickBot="1">
      <c r="A6" s="147" t="s">
        <v>10</v>
      </c>
      <c r="B6" s="417" t="s">
        <v>374</v>
      </c>
      <c r="C6" s="15" t="s">
        <v>366</v>
      </c>
      <c r="D6" s="15" t="s">
        <v>367</v>
      </c>
      <c r="E6" s="144">
        <v>45730</v>
      </c>
      <c r="F6" s="144">
        <f t="shared" si="0"/>
        <v>45791</v>
      </c>
      <c r="G6" s="15" t="s">
        <v>353</v>
      </c>
      <c r="H6" s="144">
        <v>44621</v>
      </c>
      <c r="I6" s="144">
        <v>44804</v>
      </c>
      <c r="J6" s="145"/>
      <c r="K6" s="69"/>
      <c r="L6" s="70" t="s">
        <v>334</v>
      </c>
      <c r="M6" s="70"/>
      <c r="N6" s="70"/>
      <c r="O6" s="106"/>
      <c r="P6" s="106" t="s">
        <v>334</v>
      </c>
      <c r="Q6" s="106"/>
      <c r="R6" s="107"/>
      <c r="S6" s="107"/>
      <c r="T6" s="107"/>
      <c r="U6" s="71"/>
      <c r="V6" s="153"/>
      <c r="W6" s="157"/>
    </row>
    <row r="7" spans="1:37" s="146" customFormat="1" ht="18.5">
      <c r="A7" s="147" t="s">
        <v>10</v>
      </c>
      <c r="B7" s="418"/>
      <c r="C7" s="15" t="s">
        <v>366</v>
      </c>
      <c r="D7" s="15" t="s">
        <v>367</v>
      </c>
      <c r="E7" s="144">
        <v>45730</v>
      </c>
      <c r="F7" s="144">
        <f t="shared" si="0"/>
        <v>45791</v>
      </c>
      <c r="G7" s="15" t="s">
        <v>327</v>
      </c>
      <c r="H7" s="144">
        <v>43525</v>
      </c>
      <c r="I7" s="144">
        <v>44985</v>
      </c>
      <c r="J7" s="145"/>
      <c r="K7" s="37"/>
      <c r="L7" s="37"/>
      <c r="M7" s="38"/>
      <c r="N7" s="38"/>
      <c r="O7" s="38"/>
      <c r="P7" s="36" t="s">
        <v>334</v>
      </c>
      <c r="Q7" s="36"/>
      <c r="R7" s="36"/>
      <c r="S7" s="91"/>
      <c r="T7" s="91"/>
      <c r="U7" s="91"/>
      <c r="V7" s="37"/>
      <c r="W7" s="157"/>
    </row>
    <row r="8" spans="1:37" s="146" customFormat="1" ht="19" thickBot="1">
      <c r="A8" s="147" t="s">
        <v>10</v>
      </c>
      <c r="B8" s="349" t="s">
        <v>375</v>
      </c>
      <c r="C8" s="15" t="s">
        <v>366</v>
      </c>
      <c r="D8" s="15" t="s">
        <v>367</v>
      </c>
      <c r="E8" s="144">
        <v>45730</v>
      </c>
      <c r="F8" s="144">
        <f t="shared" si="0"/>
        <v>45791</v>
      </c>
      <c r="G8" s="15" t="s">
        <v>484</v>
      </c>
      <c r="H8" s="144">
        <v>43009</v>
      </c>
      <c r="I8" s="144">
        <v>44834</v>
      </c>
      <c r="J8" s="145"/>
      <c r="K8" s="98"/>
      <c r="L8" s="98" t="s">
        <v>334</v>
      </c>
      <c r="M8" s="98"/>
      <c r="N8" s="99"/>
      <c r="O8" s="99"/>
      <c r="P8" s="99" t="s">
        <v>334</v>
      </c>
      <c r="Q8" s="100"/>
      <c r="R8" s="100"/>
      <c r="S8" s="100"/>
      <c r="T8" s="101"/>
      <c r="U8" s="101"/>
      <c r="V8" s="101"/>
      <c r="W8" s="157"/>
    </row>
    <row r="9" spans="1:37" s="146" customFormat="1" ht="19" thickBot="1">
      <c r="A9" s="147" t="s">
        <v>10</v>
      </c>
      <c r="B9" s="349" t="s">
        <v>376</v>
      </c>
      <c r="C9" s="15" t="s">
        <v>366</v>
      </c>
      <c r="D9" s="15" t="s">
        <v>367</v>
      </c>
      <c r="E9" s="144">
        <v>45730</v>
      </c>
      <c r="F9" s="144">
        <f t="shared" si="0"/>
        <v>45791</v>
      </c>
      <c r="G9" s="15" t="s">
        <v>484</v>
      </c>
      <c r="H9" s="144">
        <v>43009</v>
      </c>
      <c r="I9" s="144">
        <v>44834</v>
      </c>
      <c r="J9" s="145"/>
      <c r="K9" s="98"/>
      <c r="L9" s="98" t="s">
        <v>334</v>
      </c>
      <c r="M9" s="98"/>
      <c r="N9" s="99"/>
      <c r="O9" s="99"/>
      <c r="P9" s="99" t="s">
        <v>334</v>
      </c>
      <c r="Q9" s="100"/>
      <c r="R9" s="100"/>
      <c r="S9" s="100"/>
      <c r="T9" s="101"/>
      <c r="U9" s="101"/>
      <c r="V9" s="101"/>
      <c r="W9" s="157"/>
    </row>
    <row r="10" spans="1:37" s="146" customFormat="1" ht="19" thickBot="1">
      <c r="A10" s="147" t="s">
        <v>10</v>
      </c>
      <c r="B10" s="349" t="s">
        <v>377</v>
      </c>
      <c r="C10" s="15" t="s">
        <v>366</v>
      </c>
      <c r="D10" s="15" t="s">
        <v>367</v>
      </c>
      <c r="E10" s="144">
        <v>45730</v>
      </c>
      <c r="F10" s="144">
        <f t="shared" si="0"/>
        <v>45791</v>
      </c>
      <c r="G10" s="15" t="s">
        <v>484</v>
      </c>
      <c r="H10" s="144">
        <v>43009</v>
      </c>
      <c r="I10" s="144">
        <v>44834</v>
      </c>
      <c r="J10" s="145"/>
      <c r="K10" s="98"/>
      <c r="L10" s="98" t="s">
        <v>334</v>
      </c>
      <c r="M10" s="98"/>
      <c r="N10" s="99"/>
      <c r="O10" s="99"/>
      <c r="P10" s="99" t="s">
        <v>334</v>
      </c>
      <c r="Q10" s="100"/>
      <c r="R10" s="100"/>
      <c r="S10" s="100"/>
      <c r="T10" s="101"/>
      <c r="U10" s="101"/>
      <c r="V10" s="101"/>
      <c r="W10" s="157"/>
    </row>
    <row r="11" spans="1:37" s="146" customFormat="1" ht="19" thickBot="1">
      <c r="A11" s="147" t="s">
        <v>10</v>
      </c>
      <c r="B11" s="349" t="s">
        <v>378</v>
      </c>
      <c r="C11" s="15" t="s">
        <v>366</v>
      </c>
      <c r="D11" s="15" t="s">
        <v>367</v>
      </c>
      <c r="E11" s="144">
        <v>45730</v>
      </c>
      <c r="F11" s="144">
        <f t="shared" si="0"/>
        <v>45791</v>
      </c>
      <c r="G11" s="15" t="s">
        <v>353</v>
      </c>
      <c r="H11" s="144">
        <v>44621</v>
      </c>
      <c r="I11" s="144">
        <v>44804</v>
      </c>
      <c r="J11" s="145"/>
      <c r="K11" s="69"/>
      <c r="L11" s="70" t="s">
        <v>334</v>
      </c>
      <c r="M11" s="70"/>
      <c r="N11" s="70"/>
      <c r="O11" s="106"/>
      <c r="P11" s="106" t="s">
        <v>334</v>
      </c>
      <c r="Q11" s="106"/>
      <c r="R11" s="107"/>
      <c r="S11" s="107"/>
      <c r="T11" s="107"/>
      <c r="U11" s="71"/>
      <c r="V11" s="108"/>
      <c r="W11" s="157"/>
    </row>
    <row r="12" spans="1:37" s="146" customFormat="1" ht="19" thickBot="1">
      <c r="A12" s="147" t="s">
        <v>10</v>
      </c>
      <c r="B12" s="349" t="s">
        <v>379</v>
      </c>
      <c r="C12" s="15" t="s">
        <v>366</v>
      </c>
      <c r="D12" s="15" t="s">
        <v>367</v>
      </c>
      <c r="E12" s="144">
        <v>45730</v>
      </c>
      <c r="F12" s="144">
        <f t="shared" si="0"/>
        <v>45791</v>
      </c>
      <c r="G12" s="15" t="s">
        <v>484</v>
      </c>
      <c r="H12" s="144">
        <v>43009</v>
      </c>
      <c r="I12" s="144">
        <v>44834</v>
      </c>
      <c r="J12" s="145" t="s">
        <v>380</v>
      </c>
      <c r="K12" s="98"/>
      <c r="L12" s="98" t="s">
        <v>334</v>
      </c>
      <c r="M12" s="98"/>
      <c r="N12" s="99"/>
      <c r="O12" s="99"/>
      <c r="P12" s="99" t="s">
        <v>334</v>
      </c>
      <c r="Q12" s="100"/>
      <c r="R12" s="100"/>
      <c r="S12" s="100"/>
      <c r="T12" s="101"/>
      <c r="U12" s="101"/>
      <c r="V12" s="101"/>
      <c r="W12" s="157"/>
    </row>
    <row r="13" spans="1:37" s="146" customFormat="1" ht="19" thickBot="1">
      <c r="A13" s="147" t="s">
        <v>10</v>
      </c>
      <c r="B13" s="349" t="s">
        <v>381</v>
      </c>
      <c r="C13" s="15" t="s">
        <v>366</v>
      </c>
      <c r="D13" s="15" t="s">
        <v>367</v>
      </c>
      <c r="E13" s="144">
        <v>45730</v>
      </c>
      <c r="F13" s="144">
        <f t="shared" si="0"/>
        <v>45791</v>
      </c>
      <c r="G13" s="15" t="s">
        <v>484</v>
      </c>
      <c r="H13" s="144">
        <v>43009</v>
      </c>
      <c r="I13" s="144">
        <v>44834</v>
      </c>
      <c r="J13" s="145"/>
      <c r="K13" s="98"/>
      <c r="L13" s="98" t="s">
        <v>334</v>
      </c>
      <c r="M13" s="98"/>
      <c r="N13" s="99"/>
      <c r="O13" s="99"/>
      <c r="P13" s="99" t="s">
        <v>334</v>
      </c>
      <c r="Q13" s="100"/>
      <c r="R13" s="100"/>
      <c r="S13" s="100"/>
      <c r="T13" s="101"/>
      <c r="U13" s="101"/>
      <c r="V13" s="101"/>
      <c r="W13" s="157"/>
    </row>
    <row r="14" spans="1:37" s="146" customFormat="1" ht="19" thickBot="1">
      <c r="A14" s="147" t="s">
        <v>10</v>
      </c>
      <c r="B14" s="349" t="s">
        <v>382</v>
      </c>
      <c r="C14" s="15" t="s">
        <v>366</v>
      </c>
      <c r="D14" s="15" t="s">
        <v>367</v>
      </c>
      <c r="E14" s="144">
        <v>45730</v>
      </c>
      <c r="F14" s="144">
        <f t="shared" si="0"/>
        <v>45791</v>
      </c>
      <c r="G14" s="15" t="s">
        <v>484</v>
      </c>
      <c r="H14" s="144">
        <v>43009</v>
      </c>
      <c r="I14" s="144">
        <v>44834</v>
      </c>
      <c r="J14" s="145"/>
      <c r="K14" s="98"/>
      <c r="L14" s="98" t="s">
        <v>334</v>
      </c>
      <c r="M14" s="98"/>
      <c r="N14" s="99"/>
      <c r="O14" s="99"/>
      <c r="P14" s="99" t="s">
        <v>334</v>
      </c>
      <c r="Q14" s="100"/>
      <c r="R14" s="100"/>
      <c r="S14" s="100"/>
      <c r="T14" s="101"/>
      <c r="U14" s="101"/>
      <c r="V14" s="101"/>
      <c r="W14" s="157"/>
    </row>
    <row r="15" spans="1:37" s="146" customFormat="1" ht="19" thickBot="1">
      <c r="A15" s="147" t="s">
        <v>10</v>
      </c>
      <c r="B15" s="349" t="s">
        <v>383</v>
      </c>
      <c r="C15" s="15" t="s">
        <v>366</v>
      </c>
      <c r="D15" s="15" t="s">
        <v>367</v>
      </c>
      <c r="E15" s="144">
        <v>45730</v>
      </c>
      <c r="F15" s="144">
        <f t="shared" si="0"/>
        <v>45791</v>
      </c>
      <c r="G15" s="15" t="s">
        <v>484</v>
      </c>
      <c r="H15" s="144">
        <v>43009</v>
      </c>
      <c r="I15" s="144">
        <v>44834</v>
      </c>
      <c r="J15" s="145"/>
      <c r="K15" s="98"/>
      <c r="L15" s="98" t="s">
        <v>334</v>
      </c>
      <c r="M15" s="98"/>
      <c r="N15" s="99"/>
      <c r="O15" s="99"/>
      <c r="P15" s="99" t="s">
        <v>334</v>
      </c>
      <c r="Q15" s="100"/>
      <c r="R15" s="100"/>
      <c r="S15" s="100"/>
      <c r="T15" s="101"/>
      <c r="U15" s="101"/>
      <c r="V15" s="101"/>
      <c r="W15" s="157"/>
    </row>
    <row r="16" spans="1:37" s="146" customFormat="1" ht="19" thickBot="1">
      <c r="A16" s="147" t="s">
        <v>10</v>
      </c>
      <c r="B16" s="349" t="s">
        <v>384</v>
      </c>
      <c r="C16" s="15" t="s">
        <v>366</v>
      </c>
      <c r="D16" s="15" t="s">
        <v>367</v>
      </c>
      <c r="E16" s="144">
        <v>45730</v>
      </c>
      <c r="F16" s="144">
        <f t="shared" si="0"/>
        <v>45791</v>
      </c>
      <c r="G16" s="15" t="s">
        <v>484</v>
      </c>
      <c r="H16" s="144">
        <v>43009</v>
      </c>
      <c r="I16" s="144">
        <v>44834</v>
      </c>
      <c r="J16" s="145"/>
      <c r="K16" s="98"/>
      <c r="L16" s="98" t="s">
        <v>334</v>
      </c>
      <c r="M16" s="98"/>
      <c r="N16" s="99"/>
      <c r="O16" s="99"/>
      <c r="P16" s="99" t="s">
        <v>334</v>
      </c>
      <c r="Q16" s="100"/>
      <c r="R16" s="100"/>
      <c r="S16" s="100"/>
      <c r="T16" s="101"/>
      <c r="U16" s="101"/>
      <c r="V16" s="101"/>
      <c r="W16" s="157"/>
    </row>
    <row r="17" spans="1:23" s="146" customFormat="1" ht="19" thickBot="1">
      <c r="A17" s="147" t="s">
        <v>10</v>
      </c>
      <c r="B17" s="349" t="s">
        <v>385</v>
      </c>
      <c r="C17" s="15" t="s">
        <v>366</v>
      </c>
      <c r="D17" s="15" t="s">
        <v>367</v>
      </c>
      <c r="E17" s="144">
        <v>45730</v>
      </c>
      <c r="F17" s="144">
        <f t="shared" si="0"/>
        <v>45791</v>
      </c>
      <c r="G17" s="15" t="s">
        <v>484</v>
      </c>
      <c r="H17" s="144">
        <v>43009</v>
      </c>
      <c r="I17" s="144">
        <v>44834</v>
      </c>
      <c r="J17" s="145"/>
      <c r="K17" s="98"/>
      <c r="L17" s="98" t="s">
        <v>334</v>
      </c>
      <c r="M17" s="98"/>
      <c r="N17" s="99"/>
      <c r="O17" s="99"/>
      <c r="P17" s="99" t="s">
        <v>334</v>
      </c>
      <c r="Q17" s="100"/>
      <c r="R17" s="100"/>
      <c r="S17" s="100"/>
      <c r="T17" s="101"/>
      <c r="U17" s="101"/>
      <c r="V17" s="101"/>
      <c r="W17" s="157"/>
    </row>
    <row r="18" spans="1:23" s="146" customFormat="1" ht="19" thickBot="1">
      <c r="A18" s="147" t="s">
        <v>10</v>
      </c>
      <c r="B18" s="349" t="s">
        <v>386</v>
      </c>
      <c r="C18" s="15" t="s">
        <v>366</v>
      </c>
      <c r="D18" s="15" t="s">
        <v>367</v>
      </c>
      <c r="E18" s="144">
        <v>45730</v>
      </c>
      <c r="F18" s="144">
        <f t="shared" si="0"/>
        <v>45791</v>
      </c>
      <c r="G18" s="15" t="s">
        <v>484</v>
      </c>
      <c r="H18" s="144">
        <v>43009</v>
      </c>
      <c r="I18" s="144">
        <v>44834</v>
      </c>
      <c r="J18" s="145" t="s">
        <v>387</v>
      </c>
      <c r="K18" s="98"/>
      <c r="L18" s="98" t="s">
        <v>334</v>
      </c>
      <c r="M18" s="98"/>
      <c r="N18" s="99"/>
      <c r="O18" s="99"/>
      <c r="P18" s="99" t="s">
        <v>334</v>
      </c>
      <c r="Q18" s="100"/>
      <c r="R18" s="100"/>
      <c r="S18" s="100"/>
      <c r="T18" s="101"/>
      <c r="U18" s="101"/>
      <c r="V18" s="101"/>
      <c r="W18" s="157"/>
    </row>
    <row r="19" spans="1:23" s="146" customFormat="1" ht="19" thickBot="1">
      <c r="A19" s="147" t="s">
        <v>10</v>
      </c>
      <c r="B19" s="349" t="s">
        <v>388</v>
      </c>
      <c r="C19" s="15" t="s">
        <v>366</v>
      </c>
      <c r="D19" s="15" t="s">
        <v>367</v>
      </c>
      <c r="E19" s="144">
        <v>45730</v>
      </c>
      <c r="F19" s="144">
        <f t="shared" si="0"/>
        <v>45791</v>
      </c>
      <c r="G19" s="15" t="s">
        <v>484</v>
      </c>
      <c r="H19" s="144">
        <v>43009</v>
      </c>
      <c r="I19" s="144">
        <v>44834</v>
      </c>
      <c r="J19" s="145"/>
      <c r="K19" s="98"/>
      <c r="L19" s="98" t="s">
        <v>334</v>
      </c>
      <c r="M19" s="98"/>
      <c r="N19" s="99"/>
      <c r="O19" s="99"/>
      <c r="P19" s="99" t="s">
        <v>334</v>
      </c>
      <c r="Q19" s="100"/>
      <c r="R19" s="100"/>
      <c r="S19" s="100"/>
      <c r="T19" s="101"/>
      <c r="U19" s="101"/>
      <c r="V19" s="101"/>
      <c r="W19" s="157"/>
    </row>
    <row r="20" spans="1:23" s="146" customFormat="1" ht="19" thickBot="1">
      <c r="A20" s="147" t="s">
        <v>10</v>
      </c>
      <c r="B20" s="349" t="s">
        <v>389</v>
      </c>
      <c r="C20" s="15" t="s">
        <v>366</v>
      </c>
      <c r="D20" s="15" t="s">
        <v>367</v>
      </c>
      <c r="E20" s="144">
        <v>45730</v>
      </c>
      <c r="F20" s="144">
        <f t="shared" si="0"/>
        <v>45791</v>
      </c>
      <c r="G20" s="15" t="s">
        <v>484</v>
      </c>
      <c r="H20" s="144">
        <v>43009</v>
      </c>
      <c r="I20" s="144">
        <v>44834</v>
      </c>
      <c r="J20" s="145" t="s">
        <v>390</v>
      </c>
      <c r="K20" s="98"/>
      <c r="L20" s="98" t="s">
        <v>334</v>
      </c>
      <c r="M20" s="98"/>
      <c r="N20" s="99"/>
      <c r="O20" s="99"/>
      <c r="P20" s="99" t="s">
        <v>334</v>
      </c>
      <c r="Q20" s="100"/>
      <c r="R20" s="100"/>
      <c r="S20" s="100" t="s">
        <v>482</v>
      </c>
      <c r="T20" s="101"/>
      <c r="U20" s="101"/>
      <c r="V20" s="101"/>
      <c r="W20" s="157"/>
    </row>
    <row r="21" spans="1:23" s="146" customFormat="1" ht="19" thickBot="1">
      <c r="A21" s="147" t="s">
        <v>10</v>
      </c>
      <c r="B21" s="349" t="s">
        <v>391</v>
      </c>
      <c r="C21" s="15" t="s">
        <v>366</v>
      </c>
      <c r="D21" s="15" t="s">
        <v>367</v>
      </c>
      <c r="E21" s="144">
        <v>45730</v>
      </c>
      <c r="F21" s="144">
        <f t="shared" si="0"/>
        <v>45791</v>
      </c>
      <c r="G21" s="15" t="s">
        <v>484</v>
      </c>
      <c r="H21" s="144">
        <v>43009</v>
      </c>
      <c r="I21" s="144">
        <v>44834</v>
      </c>
      <c r="J21" s="145"/>
      <c r="K21" s="98"/>
      <c r="L21" s="98" t="s">
        <v>334</v>
      </c>
      <c r="M21" s="98"/>
      <c r="N21" s="99"/>
      <c r="O21" s="99"/>
      <c r="P21" s="99" t="s">
        <v>334</v>
      </c>
      <c r="Q21" s="100"/>
      <c r="R21" s="100"/>
      <c r="S21" s="100"/>
      <c r="T21" s="101"/>
      <c r="U21" s="101"/>
      <c r="V21" s="101"/>
      <c r="W21" s="157"/>
    </row>
    <row r="22" spans="1:23" s="146" customFormat="1" ht="19" thickBot="1">
      <c r="A22" s="147" t="s">
        <v>10</v>
      </c>
      <c r="B22" s="349" t="s">
        <v>392</v>
      </c>
      <c r="C22" s="15" t="s">
        <v>366</v>
      </c>
      <c r="D22" s="15" t="s">
        <v>367</v>
      </c>
      <c r="E22" s="144">
        <v>45730</v>
      </c>
      <c r="F22" s="144">
        <f t="shared" si="0"/>
        <v>45791</v>
      </c>
      <c r="G22" s="15" t="s">
        <v>484</v>
      </c>
      <c r="H22" s="144">
        <v>43009</v>
      </c>
      <c r="I22" s="144">
        <v>44834</v>
      </c>
      <c r="J22" s="145"/>
      <c r="K22" s="98"/>
      <c r="L22" s="98" t="s">
        <v>334</v>
      </c>
      <c r="M22" s="98"/>
      <c r="N22" s="99"/>
      <c r="O22" s="99"/>
      <c r="P22" s="99" t="s">
        <v>334</v>
      </c>
      <c r="Q22" s="100"/>
      <c r="R22" s="100"/>
      <c r="S22" s="100"/>
      <c r="T22" s="101"/>
      <c r="U22" s="101"/>
      <c r="V22" s="101"/>
      <c r="W22" s="157"/>
    </row>
    <row r="23" spans="1:23" s="146" customFormat="1" ht="19" thickBot="1">
      <c r="A23" s="147" t="s">
        <v>10</v>
      </c>
      <c r="B23" s="349" t="s">
        <v>393</v>
      </c>
      <c r="C23" s="15" t="s">
        <v>366</v>
      </c>
      <c r="D23" s="15" t="s">
        <v>367</v>
      </c>
      <c r="E23" s="144">
        <v>45730</v>
      </c>
      <c r="F23" s="144">
        <f t="shared" si="0"/>
        <v>45791</v>
      </c>
      <c r="G23" s="15" t="s">
        <v>484</v>
      </c>
      <c r="H23" s="144">
        <v>43009</v>
      </c>
      <c r="I23" s="144">
        <v>44834</v>
      </c>
      <c r="J23" s="145"/>
      <c r="K23" s="98"/>
      <c r="L23" s="98" t="s">
        <v>334</v>
      </c>
      <c r="M23" s="98"/>
      <c r="N23" s="99"/>
      <c r="O23" s="99"/>
      <c r="P23" s="99" t="s">
        <v>334</v>
      </c>
      <c r="Q23" s="100"/>
      <c r="R23" s="100"/>
      <c r="S23" s="100"/>
      <c r="T23" s="101"/>
      <c r="U23" s="101"/>
      <c r="V23" s="101"/>
      <c r="W23" s="157"/>
    </row>
    <row r="24" spans="1:23" s="146" customFormat="1" ht="19" thickBot="1">
      <c r="A24" s="147" t="s">
        <v>10</v>
      </c>
      <c r="B24" s="349" t="s">
        <v>394</v>
      </c>
      <c r="C24" s="15" t="s">
        <v>366</v>
      </c>
      <c r="D24" s="15" t="s">
        <v>367</v>
      </c>
      <c r="E24" s="144">
        <v>45730</v>
      </c>
      <c r="F24" s="144">
        <f t="shared" si="0"/>
        <v>45791</v>
      </c>
      <c r="G24" s="15" t="s">
        <v>484</v>
      </c>
      <c r="H24" s="144">
        <v>43009</v>
      </c>
      <c r="I24" s="144">
        <v>44834</v>
      </c>
      <c r="J24" s="145"/>
      <c r="K24" s="98"/>
      <c r="L24" s="98" t="s">
        <v>334</v>
      </c>
      <c r="M24" s="98"/>
      <c r="N24" s="99"/>
      <c r="O24" s="99"/>
      <c r="P24" s="99" t="s">
        <v>334</v>
      </c>
      <c r="Q24" s="100"/>
      <c r="R24" s="100"/>
      <c r="S24" s="100"/>
      <c r="T24" s="101"/>
      <c r="U24" s="101"/>
      <c r="V24" s="101"/>
      <c r="W24" s="157"/>
    </row>
    <row r="25" spans="1:23" s="146" customFormat="1" ht="19" thickBot="1">
      <c r="A25" s="147" t="s">
        <v>10</v>
      </c>
      <c r="B25" s="349" t="s">
        <v>395</v>
      </c>
      <c r="C25" s="15" t="s">
        <v>366</v>
      </c>
      <c r="D25" s="15" t="s">
        <v>367</v>
      </c>
      <c r="E25" s="144">
        <v>45730</v>
      </c>
      <c r="F25" s="144">
        <f t="shared" si="0"/>
        <v>45791</v>
      </c>
      <c r="G25" s="15" t="s">
        <v>353</v>
      </c>
      <c r="H25" s="144">
        <v>44621</v>
      </c>
      <c r="I25" s="144">
        <v>44804</v>
      </c>
      <c r="J25" s="145"/>
      <c r="K25" s="69"/>
      <c r="L25" s="70" t="s">
        <v>334</v>
      </c>
      <c r="M25" s="70"/>
      <c r="N25" s="70"/>
      <c r="O25" s="106"/>
      <c r="P25" s="106" t="s">
        <v>334</v>
      </c>
      <c r="Q25" s="106"/>
      <c r="R25" s="107"/>
      <c r="S25" s="107"/>
      <c r="T25" s="107"/>
      <c r="U25" s="71"/>
      <c r="V25" s="108"/>
      <c r="W25" s="157"/>
    </row>
    <row r="26" spans="1:23" s="146" customFormat="1" ht="19" thickBot="1">
      <c r="A26" s="147" t="s">
        <v>10</v>
      </c>
      <c r="B26" s="349" t="s">
        <v>396</v>
      </c>
      <c r="C26" s="15" t="s">
        <v>366</v>
      </c>
      <c r="D26" s="15" t="s">
        <v>367</v>
      </c>
      <c r="E26" s="144">
        <v>45730</v>
      </c>
      <c r="F26" s="144">
        <f t="shared" si="0"/>
        <v>45791</v>
      </c>
      <c r="G26" s="15" t="s">
        <v>353</v>
      </c>
      <c r="H26" s="144">
        <v>44621</v>
      </c>
      <c r="I26" s="144">
        <v>44804</v>
      </c>
      <c r="J26" s="145" t="s">
        <v>397</v>
      </c>
      <c r="K26" s="69"/>
      <c r="L26" s="70" t="s">
        <v>334</v>
      </c>
      <c r="M26" s="70"/>
      <c r="N26" s="70"/>
      <c r="O26" s="106"/>
      <c r="P26" s="106" t="s">
        <v>334</v>
      </c>
      <c r="Q26" s="106"/>
      <c r="R26" s="107"/>
      <c r="S26" s="107"/>
      <c r="T26" s="107"/>
      <c r="U26" s="71"/>
      <c r="V26" s="108"/>
      <c r="W26" s="157"/>
    </row>
    <row r="27" spans="1:23" s="146" customFormat="1" ht="19" thickBot="1">
      <c r="A27" s="147" t="s">
        <v>10</v>
      </c>
      <c r="B27" s="15" t="s">
        <v>398</v>
      </c>
      <c r="C27" s="15" t="s">
        <v>366</v>
      </c>
      <c r="D27" s="15" t="s">
        <v>367</v>
      </c>
      <c r="E27" s="144">
        <v>45730</v>
      </c>
      <c r="F27" s="144">
        <f t="shared" si="0"/>
        <v>45791</v>
      </c>
      <c r="G27" s="15" t="s">
        <v>484</v>
      </c>
      <c r="H27" s="144">
        <v>43009</v>
      </c>
      <c r="I27" s="144">
        <v>44834</v>
      </c>
      <c r="J27" s="145"/>
      <c r="K27" s="98"/>
      <c r="L27" s="98" t="s">
        <v>334</v>
      </c>
      <c r="M27" s="98"/>
      <c r="N27" s="99"/>
      <c r="O27" s="99"/>
      <c r="P27" s="99" t="s">
        <v>334</v>
      </c>
      <c r="Q27" s="100"/>
      <c r="R27" s="100"/>
      <c r="S27" s="100"/>
      <c r="T27" s="101"/>
      <c r="U27" s="101"/>
      <c r="V27" s="101"/>
      <c r="W27" s="157"/>
    </row>
    <row r="28" spans="1:23" s="146" customFormat="1" ht="19" thickBot="1">
      <c r="A28" s="147" t="s">
        <v>10</v>
      </c>
      <c r="B28" s="349" t="s">
        <v>399</v>
      </c>
      <c r="C28" s="15" t="s">
        <v>366</v>
      </c>
      <c r="D28" s="15" t="s">
        <v>367</v>
      </c>
      <c r="E28" s="144">
        <v>45730</v>
      </c>
      <c r="F28" s="144">
        <f t="shared" si="0"/>
        <v>45791</v>
      </c>
      <c r="G28" s="15" t="s">
        <v>484</v>
      </c>
      <c r="H28" s="144">
        <v>43009</v>
      </c>
      <c r="I28" s="144">
        <v>44834</v>
      </c>
      <c r="J28" s="145"/>
      <c r="K28" s="98"/>
      <c r="L28" s="98" t="s">
        <v>334</v>
      </c>
      <c r="M28" s="98"/>
      <c r="N28" s="99"/>
      <c r="O28" s="99"/>
      <c r="P28" s="99" t="s">
        <v>334</v>
      </c>
      <c r="Q28" s="100"/>
      <c r="R28" s="100"/>
      <c r="S28" s="100"/>
      <c r="T28" s="101"/>
      <c r="U28" s="101"/>
      <c r="V28" s="101"/>
      <c r="W28" s="157"/>
    </row>
    <row r="29" spans="1:23" s="146" customFormat="1" ht="19" thickBot="1">
      <c r="A29" s="149" t="s">
        <v>24</v>
      </c>
      <c r="B29" s="148" t="s">
        <v>400</v>
      </c>
      <c r="C29" s="15" t="s">
        <v>401</v>
      </c>
      <c r="D29" s="15" t="s">
        <v>402</v>
      </c>
      <c r="E29" s="144">
        <v>45063</v>
      </c>
      <c r="F29" s="144">
        <f t="shared" si="0"/>
        <v>45124</v>
      </c>
      <c r="G29" s="148" t="s">
        <v>331</v>
      </c>
      <c r="H29" s="144">
        <v>44562</v>
      </c>
      <c r="I29" s="144">
        <v>44926</v>
      </c>
      <c r="J29" s="145"/>
      <c r="K29" s="70"/>
      <c r="L29" s="70" t="s">
        <v>334</v>
      </c>
      <c r="M29" s="70"/>
      <c r="N29" s="36"/>
      <c r="O29" s="36"/>
      <c r="P29" s="36"/>
      <c r="Q29" s="91"/>
      <c r="R29" s="91"/>
      <c r="S29" s="91"/>
      <c r="T29" s="71"/>
      <c r="U29" s="71"/>
      <c r="V29" s="71"/>
      <c r="W29" s="157"/>
    </row>
    <row r="30" spans="1:23" s="146" customFormat="1" ht="19" thickBot="1">
      <c r="A30" s="149" t="s">
        <v>24</v>
      </c>
      <c r="B30" s="148" t="s">
        <v>403</v>
      </c>
      <c r="C30" s="15" t="s">
        <v>401</v>
      </c>
      <c r="D30" s="15" t="s">
        <v>402</v>
      </c>
      <c r="E30" s="144">
        <v>45063</v>
      </c>
      <c r="F30" s="144">
        <f t="shared" si="0"/>
        <v>45124</v>
      </c>
      <c r="G30" s="148" t="s">
        <v>332</v>
      </c>
      <c r="H30" s="144">
        <v>44562</v>
      </c>
      <c r="I30" s="144">
        <v>44926</v>
      </c>
      <c r="J30" s="145" t="s">
        <v>404</v>
      </c>
      <c r="K30" s="70"/>
      <c r="L30" s="70" t="s">
        <v>334</v>
      </c>
      <c r="M30" s="70"/>
      <c r="N30" s="36"/>
      <c r="O30" s="36"/>
      <c r="P30" s="36"/>
      <c r="Q30" s="91"/>
      <c r="R30" s="91"/>
      <c r="S30" s="91"/>
      <c r="T30" s="71"/>
      <c r="U30" s="71"/>
      <c r="V30" s="71"/>
      <c r="W30" s="157"/>
    </row>
    <row r="31" spans="1:23" s="146" customFormat="1">
      <c r="A31" s="150" t="s">
        <v>37</v>
      </c>
      <c r="B31" s="419" t="s">
        <v>374</v>
      </c>
      <c r="C31" s="15" t="s">
        <v>366</v>
      </c>
      <c r="D31" s="15" t="s">
        <v>367</v>
      </c>
      <c r="E31" s="144">
        <v>44933</v>
      </c>
      <c r="F31" s="144">
        <v>45107</v>
      </c>
      <c r="G31" s="15" t="s">
        <v>47</v>
      </c>
      <c r="H31" s="15" t="s">
        <v>405</v>
      </c>
      <c r="I31" s="15" t="s">
        <v>405</v>
      </c>
      <c r="J31" s="145">
        <v>218</v>
      </c>
      <c r="K31" s="152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54"/>
      <c r="W31" s="157"/>
    </row>
    <row r="32" spans="1:23" s="146" customFormat="1">
      <c r="A32" s="150" t="s">
        <v>37</v>
      </c>
      <c r="B32" s="420"/>
      <c r="C32" s="15" t="s">
        <v>366</v>
      </c>
      <c r="D32" s="15" t="s">
        <v>367</v>
      </c>
      <c r="E32" s="144">
        <v>44933</v>
      </c>
      <c r="F32" s="144">
        <v>45107</v>
      </c>
      <c r="G32" s="15" t="s">
        <v>44</v>
      </c>
      <c r="H32" s="15" t="s">
        <v>405</v>
      </c>
      <c r="I32" s="15" t="s">
        <v>405</v>
      </c>
      <c r="J32" s="145"/>
      <c r="K32" s="152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54"/>
      <c r="W32" s="157"/>
    </row>
    <row r="33" spans="1:23" s="146" customFormat="1">
      <c r="A33" s="150" t="s">
        <v>37</v>
      </c>
      <c r="B33" s="420"/>
      <c r="C33" s="15" t="s">
        <v>366</v>
      </c>
      <c r="D33" s="15" t="s">
        <v>367</v>
      </c>
      <c r="E33" s="144">
        <v>44933</v>
      </c>
      <c r="F33" s="144">
        <v>45107</v>
      </c>
      <c r="G33" s="15" t="s">
        <v>43</v>
      </c>
      <c r="H33" s="15" t="s">
        <v>405</v>
      </c>
      <c r="I33" s="15" t="s">
        <v>405</v>
      </c>
      <c r="J33" s="145"/>
      <c r="K33" s="152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54"/>
      <c r="W33" s="157"/>
    </row>
    <row r="34" spans="1:23" s="146" customFormat="1">
      <c r="A34" s="150" t="s">
        <v>37</v>
      </c>
      <c r="B34" s="421"/>
      <c r="C34" s="15" t="s">
        <v>366</v>
      </c>
      <c r="D34" s="15" t="s">
        <v>367</v>
      </c>
      <c r="E34" s="144">
        <v>44933</v>
      </c>
      <c r="F34" s="144">
        <v>45107</v>
      </c>
      <c r="G34" s="15" t="s">
        <v>45</v>
      </c>
      <c r="H34" s="15" t="s">
        <v>405</v>
      </c>
      <c r="I34" s="15" t="s">
        <v>405</v>
      </c>
      <c r="J34" s="145"/>
      <c r="K34" s="152"/>
      <c r="L34" s="145"/>
      <c r="M34" s="145"/>
      <c r="N34" s="145"/>
      <c r="O34" s="145"/>
      <c r="P34" s="145"/>
      <c r="Q34" s="145"/>
      <c r="R34" s="145"/>
      <c r="S34" s="145"/>
      <c r="T34" s="145"/>
      <c r="U34" s="145"/>
      <c r="V34" s="154"/>
      <c r="W34" s="157"/>
    </row>
    <row r="35" spans="1:23" s="146" customFormat="1">
      <c r="A35" s="150" t="s">
        <v>37</v>
      </c>
      <c r="B35" s="419" t="s">
        <v>406</v>
      </c>
      <c r="C35" s="15" t="s">
        <v>366</v>
      </c>
      <c r="D35" s="15" t="s">
        <v>367</v>
      </c>
      <c r="E35" s="144">
        <v>44938</v>
      </c>
      <c r="F35" s="144">
        <v>45107</v>
      </c>
      <c r="G35" s="15" t="s">
        <v>47</v>
      </c>
      <c r="H35" s="15" t="s">
        <v>405</v>
      </c>
      <c r="I35" s="15" t="s">
        <v>405</v>
      </c>
      <c r="J35" s="145"/>
      <c r="K35" s="152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54"/>
      <c r="W35" s="157"/>
    </row>
    <row r="36" spans="1:23" s="146" customFormat="1">
      <c r="A36" s="150" t="s">
        <v>37</v>
      </c>
      <c r="B36" s="421"/>
      <c r="C36" s="15" t="s">
        <v>366</v>
      </c>
      <c r="D36" s="15" t="s">
        <v>367</v>
      </c>
      <c r="E36" s="144">
        <v>44938</v>
      </c>
      <c r="F36" s="144">
        <v>45107</v>
      </c>
      <c r="G36" s="15" t="s">
        <v>45</v>
      </c>
      <c r="H36" s="15" t="s">
        <v>405</v>
      </c>
      <c r="I36" s="15" t="s">
        <v>405</v>
      </c>
      <c r="J36" s="145"/>
      <c r="K36" s="152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54"/>
      <c r="W36" s="157"/>
    </row>
    <row r="37" spans="1:23" s="146" customFormat="1">
      <c r="A37" s="150" t="s">
        <v>37</v>
      </c>
      <c r="B37" s="422" t="s">
        <v>407</v>
      </c>
      <c r="C37" s="15" t="s">
        <v>366</v>
      </c>
      <c r="D37" s="15" t="s">
        <v>367</v>
      </c>
      <c r="E37" s="144">
        <v>44933</v>
      </c>
      <c r="F37" s="144">
        <v>45107</v>
      </c>
      <c r="G37" s="151" t="s">
        <v>44</v>
      </c>
      <c r="H37" s="15" t="s">
        <v>405</v>
      </c>
      <c r="I37" s="15" t="s">
        <v>405</v>
      </c>
      <c r="J37" s="145">
        <v>120</v>
      </c>
      <c r="K37" s="152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54"/>
      <c r="W37" s="157"/>
    </row>
    <row r="38" spans="1:23" s="146" customFormat="1">
      <c r="A38" s="150" t="s">
        <v>37</v>
      </c>
      <c r="B38" s="423"/>
      <c r="C38" s="15" t="s">
        <v>366</v>
      </c>
      <c r="D38" s="15" t="s">
        <v>367</v>
      </c>
      <c r="E38" s="144">
        <v>44933</v>
      </c>
      <c r="F38" s="144">
        <v>45107</v>
      </c>
      <c r="G38" s="15" t="s">
        <v>408</v>
      </c>
      <c r="H38" s="15" t="s">
        <v>405</v>
      </c>
      <c r="I38" s="15" t="s">
        <v>405</v>
      </c>
      <c r="J38" s="145"/>
      <c r="K38" s="152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54"/>
      <c r="W38" s="157"/>
    </row>
    <row r="39" spans="1:23" s="146" customFormat="1">
      <c r="A39" s="150" t="s">
        <v>37</v>
      </c>
      <c r="B39" s="424"/>
      <c r="C39" s="15" t="s">
        <v>366</v>
      </c>
      <c r="D39" s="15" t="s">
        <v>367</v>
      </c>
      <c r="E39" s="144">
        <v>44933</v>
      </c>
      <c r="F39" s="144">
        <v>45107</v>
      </c>
      <c r="G39" s="15" t="s">
        <v>158</v>
      </c>
      <c r="H39" s="15" t="s">
        <v>405</v>
      </c>
      <c r="I39" s="15" t="s">
        <v>405</v>
      </c>
      <c r="J39" s="145"/>
      <c r="K39" s="152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54"/>
      <c r="W39" s="157"/>
    </row>
  </sheetData>
  <autoFilter ref="A1:J39" xr:uid="{00000000-0001-0000-0100-000000000000}"/>
  <mergeCells count="4">
    <mergeCell ref="B6:B7"/>
    <mergeCell ref="B31:B34"/>
    <mergeCell ref="B35:B36"/>
    <mergeCell ref="B37:B39"/>
  </mergeCells>
  <phoneticPr fontId="1" type="noConversion"/>
  <dataValidations count="2">
    <dataValidation type="list" allowBlank="1" showInputMessage="1" showErrorMessage="1" sqref="A2:A39" xr:uid="{2A5FA48B-AF4B-407B-9BC3-FD75BDE437A9}">
      <formula1>"POST,HNCB,FCB,BOT,NET,SKI"</formula1>
    </dataValidation>
    <dataValidation type="list" allowBlank="1" showInputMessage="1" showErrorMessage="1" sqref="A40:A108" xr:uid="{FD63CC07-6BBE-422F-8387-FCB3B653E56E}">
      <formula1>"POST,HNCB,FCB,BOT,NET"</formula1>
    </dataValidation>
  </dataValidation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DB618-32B9-4B53-993A-B27C1223E4E4}">
  <sheetPr>
    <tabColor theme="9"/>
  </sheetPr>
  <dimension ref="A1:W23"/>
  <sheetViews>
    <sheetView zoomScale="80" zoomScaleNormal="80" workbookViewId="0">
      <pane xSplit="7" topLeftCell="J1" activePane="topRight" state="frozen"/>
      <selection pane="topRight" activeCell="E14" sqref="E14"/>
    </sheetView>
  </sheetViews>
  <sheetFormatPr defaultColWidth="10.81640625" defaultRowHeight="17"/>
  <cols>
    <col min="1" max="1" width="10.81640625" style="2"/>
    <col min="2" max="2" width="26.6328125" style="2" customWidth="1"/>
    <col min="3" max="4" width="12.81640625" style="2" customWidth="1"/>
    <col min="5" max="5" width="16.08984375" style="78" customWidth="1"/>
    <col min="6" max="6" width="17.7265625" style="78" customWidth="1"/>
    <col min="7" max="7" width="18.453125" style="2" customWidth="1"/>
    <col min="8" max="9" width="14.08984375" style="2" customWidth="1"/>
    <col min="10" max="10" width="32.6328125" style="1" customWidth="1"/>
  </cols>
  <sheetData>
    <row r="1" spans="1:23" ht="18.5">
      <c r="A1" s="20" t="s">
        <v>0</v>
      </c>
      <c r="B1" s="20" t="s">
        <v>1</v>
      </c>
      <c r="C1" s="20" t="s">
        <v>2</v>
      </c>
      <c r="D1" s="20" t="s">
        <v>3</v>
      </c>
      <c r="E1" s="77" t="s">
        <v>9</v>
      </c>
      <c r="F1" s="77" t="s">
        <v>333</v>
      </c>
      <c r="G1" s="20" t="s">
        <v>4</v>
      </c>
      <c r="H1" s="20" t="s">
        <v>5</v>
      </c>
      <c r="I1" s="20" t="s">
        <v>6</v>
      </c>
      <c r="J1" s="20" t="s">
        <v>7</v>
      </c>
      <c r="K1" s="35" t="s">
        <v>305</v>
      </c>
      <c r="L1" s="35" t="s">
        <v>306</v>
      </c>
      <c r="M1" s="35" t="s">
        <v>307</v>
      </c>
      <c r="N1" s="35" t="s">
        <v>308</v>
      </c>
      <c r="O1" s="35" t="s">
        <v>309</v>
      </c>
      <c r="P1" s="35" t="s">
        <v>310</v>
      </c>
      <c r="Q1" s="35" t="s">
        <v>311</v>
      </c>
      <c r="R1" s="35" t="s">
        <v>312</v>
      </c>
      <c r="S1" s="35" t="s">
        <v>313</v>
      </c>
      <c r="T1" s="35" t="s">
        <v>314</v>
      </c>
      <c r="U1" s="35" t="s">
        <v>315</v>
      </c>
      <c r="V1" s="35" t="s">
        <v>316</v>
      </c>
    </row>
    <row r="2" spans="1:23" ht="19" thickBot="1">
      <c r="A2" s="18" t="s">
        <v>10</v>
      </c>
      <c r="B2" s="53" t="s">
        <v>467</v>
      </c>
      <c r="C2" s="3" t="s">
        <v>19</v>
      </c>
      <c r="D2" s="3" t="s">
        <v>468</v>
      </c>
      <c r="E2" s="11">
        <v>45708</v>
      </c>
      <c r="F2" s="11">
        <f>E2+61</f>
        <v>45769</v>
      </c>
      <c r="G2" s="3" t="s">
        <v>484</v>
      </c>
      <c r="H2" s="4"/>
      <c r="I2" s="4"/>
      <c r="J2" s="4"/>
      <c r="K2" s="70"/>
      <c r="L2" s="70"/>
      <c r="M2" s="70" t="s">
        <v>335</v>
      </c>
      <c r="N2" s="228"/>
      <c r="O2" s="228"/>
      <c r="P2" s="228"/>
      <c r="Q2" s="91"/>
      <c r="R2" s="91"/>
      <c r="S2" s="91"/>
      <c r="T2" s="71"/>
      <c r="U2" s="71"/>
      <c r="V2" s="71"/>
    </row>
    <row r="3" spans="1:23" ht="19" thickBot="1">
      <c r="A3" s="18" t="s">
        <v>10</v>
      </c>
      <c r="B3" s="110" t="s">
        <v>469</v>
      </c>
      <c r="C3" s="3" t="s">
        <v>19</v>
      </c>
      <c r="D3" s="3" t="s">
        <v>468</v>
      </c>
      <c r="E3" s="11">
        <v>45708</v>
      </c>
      <c r="F3" s="11">
        <f t="shared" ref="F3:F19" si="0">E3+61</f>
        <v>45769</v>
      </c>
      <c r="G3" s="3" t="s">
        <v>484</v>
      </c>
      <c r="H3" s="4"/>
      <c r="I3" s="4"/>
      <c r="J3" s="4"/>
      <c r="K3" s="70"/>
      <c r="L3" s="70"/>
      <c r="M3" s="70" t="s">
        <v>335</v>
      </c>
      <c r="N3" s="228"/>
      <c r="O3" s="228"/>
      <c r="P3" s="228"/>
      <c r="Q3" s="91"/>
      <c r="R3" s="91"/>
      <c r="S3" s="91"/>
      <c r="T3" s="71"/>
      <c r="U3" s="71"/>
      <c r="V3" s="71"/>
    </row>
    <row r="4" spans="1:23" ht="19" thickBot="1">
      <c r="A4" s="18" t="s">
        <v>10</v>
      </c>
      <c r="B4" s="3" t="s">
        <v>470</v>
      </c>
      <c r="C4" s="3" t="s">
        <v>19</v>
      </c>
      <c r="D4" s="3" t="s">
        <v>468</v>
      </c>
      <c r="E4" s="11">
        <v>45708</v>
      </c>
      <c r="F4" s="11">
        <f t="shared" si="0"/>
        <v>45769</v>
      </c>
      <c r="G4" s="3" t="s">
        <v>484</v>
      </c>
      <c r="H4" s="4"/>
      <c r="I4" s="4"/>
      <c r="J4" s="4"/>
      <c r="K4" s="70"/>
      <c r="L4" s="70"/>
      <c r="M4" s="70" t="s">
        <v>335</v>
      </c>
      <c r="N4" s="228"/>
      <c r="O4" s="228"/>
      <c r="P4" s="228"/>
      <c r="Q4" s="91"/>
      <c r="R4" s="91"/>
      <c r="S4" s="91"/>
      <c r="T4" s="71"/>
      <c r="U4" s="71"/>
      <c r="V4" s="71"/>
    </row>
    <row r="5" spans="1:23" ht="19" thickBot="1">
      <c r="A5" s="18" t="s">
        <v>10</v>
      </c>
      <c r="B5" s="3" t="s">
        <v>471</v>
      </c>
      <c r="C5" s="3" t="s">
        <v>19</v>
      </c>
      <c r="D5" s="3" t="s">
        <v>468</v>
      </c>
      <c r="E5" s="11">
        <v>45708</v>
      </c>
      <c r="F5" s="11">
        <f t="shared" si="0"/>
        <v>45769</v>
      </c>
      <c r="G5" s="3" t="s">
        <v>484</v>
      </c>
      <c r="H5" s="4"/>
      <c r="I5" s="4"/>
      <c r="J5" s="4"/>
      <c r="K5" s="70"/>
      <c r="L5" s="70"/>
      <c r="M5" s="70" t="s">
        <v>335</v>
      </c>
      <c r="N5" s="228"/>
      <c r="O5" s="228"/>
      <c r="P5" s="228"/>
      <c r="Q5" s="91"/>
      <c r="R5" s="91"/>
      <c r="S5" s="91"/>
      <c r="T5" s="71"/>
      <c r="U5" s="71"/>
      <c r="V5" s="71"/>
    </row>
    <row r="6" spans="1:23" ht="19" thickBot="1">
      <c r="A6" s="18" t="s">
        <v>10</v>
      </c>
      <c r="B6" s="3" t="s">
        <v>472</v>
      </c>
      <c r="C6" s="3" t="s">
        <v>19</v>
      </c>
      <c r="D6" s="3" t="s">
        <v>468</v>
      </c>
      <c r="E6" s="11">
        <v>45708</v>
      </c>
      <c r="F6" s="11">
        <f t="shared" si="0"/>
        <v>45769</v>
      </c>
      <c r="G6" s="3" t="s">
        <v>484</v>
      </c>
      <c r="H6" s="4"/>
      <c r="I6" s="4"/>
      <c r="J6" s="4"/>
      <c r="K6" s="70"/>
      <c r="L6" s="70"/>
      <c r="M6" s="70" t="s">
        <v>335</v>
      </c>
      <c r="N6" s="228"/>
      <c r="O6" s="228"/>
      <c r="P6" s="228"/>
      <c r="Q6" s="91"/>
      <c r="R6" s="91"/>
      <c r="S6" s="91"/>
      <c r="T6" s="71"/>
      <c r="U6" s="71"/>
      <c r="V6" s="71"/>
    </row>
    <row r="7" spans="1:23" ht="19" thickBot="1">
      <c r="A7" s="56" t="s">
        <v>10</v>
      </c>
      <c r="B7" s="352" t="s">
        <v>473</v>
      </c>
      <c r="C7" s="58" t="s">
        <v>19</v>
      </c>
      <c r="D7" s="58" t="s">
        <v>468</v>
      </c>
      <c r="E7" s="11">
        <v>45708</v>
      </c>
      <c r="F7" s="11">
        <f t="shared" si="0"/>
        <v>45769</v>
      </c>
      <c r="G7" s="58" t="s">
        <v>484</v>
      </c>
      <c r="H7" s="63"/>
      <c r="I7" s="63"/>
      <c r="J7" s="63"/>
      <c r="K7" s="70"/>
      <c r="L7" s="70"/>
      <c r="M7" s="70" t="s">
        <v>335</v>
      </c>
      <c r="N7" s="228"/>
      <c r="O7" s="228"/>
      <c r="P7" s="228"/>
      <c r="Q7" s="91"/>
      <c r="R7" s="91"/>
      <c r="S7" s="91"/>
      <c r="T7" s="71"/>
      <c r="U7" s="71"/>
      <c r="V7" s="71"/>
    </row>
    <row r="8" spans="1:23" s="66" customFormat="1" ht="19" thickBot="1">
      <c r="A8" s="229" t="s">
        <v>10</v>
      </c>
      <c r="B8" s="425" t="s">
        <v>474</v>
      </c>
      <c r="C8" s="64" t="s">
        <v>19</v>
      </c>
      <c r="D8" s="64" t="s">
        <v>468</v>
      </c>
      <c r="E8" s="11">
        <v>45708</v>
      </c>
      <c r="F8" s="11">
        <f t="shared" si="0"/>
        <v>45769</v>
      </c>
      <c r="G8" s="64" t="s">
        <v>484</v>
      </c>
      <c r="H8" s="65"/>
      <c r="I8" s="65"/>
      <c r="J8" s="65"/>
      <c r="K8" s="70"/>
      <c r="L8" s="70"/>
      <c r="M8" s="70" t="s">
        <v>335</v>
      </c>
      <c r="N8" s="228"/>
      <c r="O8" s="228"/>
      <c r="P8" s="228"/>
      <c r="Q8" s="91"/>
      <c r="R8" s="91"/>
      <c r="S8" s="91"/>
      <c r="T8" s="71"/>
      <c r="U8" s="71"/>
      <c r="V8" s="71"/>
    </row>
    <row r="9" spans="1:23" s="72" customFormat="1" ht="20.5" customHeight="1" thickBot="1">
      <c r="A9" s="230" t="s">
        <v>10</v>
      </c>
      <c r="B9" s="426"/>
      <c r="C9" s="67" t="s">
        <v>19</v>
      </c>
      <c r="D9" s="67" t="s">
        <v>468</v>
      </c>
      <c r="E9" s="11">
        <v>45708</v>
      </c>
      <c r="F9" s="11">
        <f t="shared" si="0"/>
        <v>45769</v>
      </c>
      <c r="G9" s="67" t="s">
        <v>147</v>
      </c>
      <c r="H9" s="68"/>
      <c r="I9" s="68"/>
      <c r="J9" s="68"/>
      <c r="K9" s="69"/>
      <c r="L9" s="70"/>
      <c r="M9" s="70" t="s">
        <v>335</v>
      </c>
      <c r="N9" s="70"/>
      <c r="O9" s="228"/>
      <c r="P9" s="228"/>
      <c r="Q9" s="228"/>
      <c r="R9" s="91"/>
      <c r="S9" s="91"/>
      <c r="T9" s="91"/>
      <c r="U9" s="71"/>
      <c r="V9" s="69"/>
    </row>
    <row r="10" spans="1:23" ht="19" thickBot="1">
      <c r="A10" s="140" t="s">
        <v>10</v>
      </c>
      <c r="B10" s="60" t="s">
        <v>475</v>
      </c>
      <c r="C10" s="60" t="s">
        <v>19</v>
      </c>
      <c r="D10" s="60" t="s">
        <v>468</v>
      </c>
      <c r="E10" s="11">
        <v>45708</v>
      </c>
      <c r="F10" s="11">
        <f t="shared" si="0"/>
        <v>45769</v>
      </c>
      <c r="G10" s="60" t="s">
        <v>353</v>
      </c>
      <c r="H10" s="141"/>
      <c r="I10" s="141"/>
      <c r="J10" s="141"/>
      <c r="K10" s="69"/>
      <c r="L10" s="70" t="s">
        <v>334</v>
      </c>
      <c r="M10" s="70"/>
      <c r="N10" s="70"/>
      <c r="O10" s="106"/>
      <c r="P10" s="106"/>
      <c r="Q10" s="106"/>
      <c r="R10" s="107"/>
      <c r="S10" s="107"/>
      <c r="T10" s="107"/>
      <c r="U10" s="71"/>
      <c r="V10" s="108"/>
    </row>
    <row r="11" spans="1:23" s="66" customFormat="1" ht="19" thickBot="1">
      <c r="A11" s="229" t="s">
        <v>10</v>
      </c>
      <c r="B11" s="412" t="s">
        <v>476</v>
      </c>
      <c r="C11" s="64" t="s">
        <v>19</v>
      </c>
      <c r="D11" s="64" t="s">
        <v>468</v>
      </c>
      <c r="E11" s="11">
        <v>45708</v>
      </c>
      <c r="F11" s="11">
        <f t="shared" si="0"/>
        <v>45769</v>
      </c>
      <c r="G11" s="60" t="s">
        <v>353</v>
      </c>
      <c r="H11" s="65"/>
      <c r="I11" s="65"/>
      <c r="J11" s="65"/>
      <c r="K11" s="69"/>
      <c r="L11" s="70" t="s">
        <v>334</v>
      </c>
      <c r="M11" s="70"/>
      <c r="N11" s="70"/>
      <c r="O11" s="106"/>
      <c r="P11" s="106"/>
      <c r="Q11" s="106"/>
      <c r="R11" s="107"/>
      <c r="S11" s="107"/>
      <c r="T11" s="107"/>
      <c r="U11" s="71"/>
      <c r="V11" s="108"/>
    </row>
    <row r="12" spans="1:23" s="72" customFormat="1" ht="19" thickBot="1">
      <c r="A12" s="230" t="s">
        <v>10</v>
      </c>
      <c r="B12" s="413"/>
      <c r="C12" s="67" t="s">
        <v>19</v>
      </c>
      <c r="D12" s="67" t="s">
        <v>468</v>
      </c>
      <c r="E12" s="11">
        <v>45708</v>
      </c>
      <c r="F12" s="11">
        <f t="shared" si="0"/>
        <v>45769</v>
      </c>
      <c r="G12" s="67" t="s">
        <v>147</v>
      </c>
      <c r="H12" s="68"/>
      <c r="I12" s="68"/>
      <c r="J12" s="68"/>
      <c r="K12" s="69"/>
      <c r="L12" s="70"/>
      <c r="M12" s="70" t="s">
        <v>335</v>
      </c>
      <c r="N12" s="70"/>
      <c r="O12" s="228"/>
      <c r="P12" s="228"/>
      <c r="Q12" s="228"/>
      <c r="R12" s="91"/>
      <c r="S12" s="91"/>
      <c r="T12" s="91"/>
      <c r="U12" s="71"/>
      <c r="V12" s="71" t="s">
        <v>335</v>
      </c>
    </row>
    <row r="13" spans="1:23" ht="51.5" thickBot="1">
      <c r="A13" s="57" t="s">
        <v>10</v>
      </c>
      <c r="B13" s="142" t="s">
        <v>477</v>
      </c>
      <c r="C13" s="59" t="s">
        <v>19</v>
      </c>
      <c r="D13" s="59" t="s">
        <v>468</v>
      </c>
      <c r="E13" s="11">
        <v>45736</v>
      </c>
      <c r="F13" s="11">
        <f t="shared" si="0"/>
        <v>45797</v>
      </c>
      <c r="G13" s="59" t="s">
        <v>147</v>
      </c>
      <c r="H13" s="61"/>
      <c r="I13" s="61"/>
      <c r="J13" s="61"/>
      <c r="K13" s="231"/>
      <c r="L13" s="70"/>
      <c r="M13" s="70" t="s">
        <v>335</v>
      </c>
      <c r="N13" s="70"/>
      <c r="O13" s="228"/>
      <c r="P13" s="228"/>
      <c r="Q13" s="228"/>
      <c r="R13" s="91"/>
      <c r="S13" s="91"/>
      <c r="T13" s="91"/>
      <c r="U13" s="232"/>
      <c r="V13" s="71" t="s">
        <v>335</v>
      </c>
      <c r="W13" s="233" t="s">
        <v>478</v>
      </c>
    </row>
    <row r="14" spans="1:23" ht="19" thickBot="1">
      <c r="A14" s="19" t="s">
        <v>24</v>
      </c>
      <c r="B14" s="110" t="s">
        <v>479</v>
      </c>
      <c r="C14" s="3" t="s">
        <v>19</v>
      </c>
      <c r="D14" s="3" t="s">
        <v>468</v>
      </c>
      <c r="E14" s="11">
        <v>45121</v>
      </c>
      <c r="F14" s="11">
        <f t="shared" si="0"/>
        <v>45182</v>
      </c>
      <c r="G14" s="3" t="s">
        <v>332</v>
      </c>
      <c r="H14" s="4"/>
      <c r="I14" s="4"/>
      <c r="J14" s="4"/>
      <c r="K14" s="70"/>
      <c r="L14" s="70"/>
      <c r="M14" s="70"/>
      <c r="N14" s="228"/>
      <c r="O14" s="228"/>
      <c r="P14" s="228"/>
      <c r="Q14" s="91"/>
      <c r="R14" s="91"/>
      <c r="S14" s="91"/>
      <c r="T14" s="71"/>
      <c r="U14" s="71"/>
      <c r="V14" s="71"/>
    </row>
    <row r="15" spans="1:23" ht="19" thickBot="1">
      <c r="A15" s="19" t="s">
        <v>24</v>
      </c>
      <c r="B15" s="110" t="s">
        <v>474</v>
      </c>
      <c r="C15" s="3" t="s">
        <v>19</v>
      </c>
      <c r="D15" s="3" t="s">
        <v>468</v>
      </c>
      <c r="E15" s="11">
        <v>45121</v>
      </c>
      <c r="F15" s="11">
        <f t="shared" si="0"/>
        <v>45182</v>
      </c>
      <c r="G15" s="3" t="s">
        <v>332</v>
      </c>
      <c r="H15" s="4"/>
      <c r="I15" s="4"/>
      <c r="J15" s="4"/>
      <c r="K15" s="70"/>
      <c r="L15" s="70"/>
      <c r="M15" s="70"/>
      <c r="N15" s="228"/>
      <c r="O15" s="228"/>
      <c r="P15" s="228"/>
      <c r="Q15" s="91"/>
      <c r="R15" s="91"/>
      <c r="S15" s="91"/>
      <c r="T15" s="71"/>
      <c r="U15" s="71"/>
      <c r="V15" s="71"/>
    </row>
    <row r="16" spans="1:23" ht="18">
      <c r="A16" s="234" t="s">
        <v>37</v>
      </c>
      <c r="B16" s="371" t="s">
        <v>474</v>
      </c>
      <c r="C16" s="3" t="s">
        <v>19</v>
      </c>
      <c r="D16" s="3" t="s">
        <v>468</v>
      </c>
      <c r="E16" s="11">
        <v>45094</v>
      </c>
      <c r="F16" s="11">
        <f t="shared" si="0"/>
        <v>45155</v>
      </c>
      <c r="G16" s="3" t="s">
        <v>159</v>
      </c>
      <c r="H16" s="4"/>
      <c r="I16" s="4"/>
      <c r="J16" s="4"/>
      <c r="K16" s="40"/>
      <c r="L16" s="40"/>
      <c r="M16" s="41"/>
      <c r="N16" s="41"/>
      <c r="O16" s="41"/>
      <c r="P16" s="42"/>
      <c r="Q16" s="42"/>
      <c r="R16" s="42"/>
      <c r="S16" s="43"/>
      <c r="T16" s="43"/>
      <c r="U16" s="43"/>
      <c r="V16" s="40"/>
    </row>
    <row r="17" spans="1:22" ht="18">
      <c r="A17" s="234" t="s">
        <v>37</v>
      </c>
      <c r="B17" s="372"/>
      <c r="C17" s="3" t="s">
        <v>19</v>
      </c>
      <c r="D17" s="3" t="s">
        <v>468</v>
      </c>
      <c r="E17" s="11">
        <v>45094</v>
      </c>
      <c r="F17" s="11">
        <f t="shared" si="0"/>
        <v>45155</v>
      </c>
      <c r="G17" s="3" t="s">
        <v>157</v>
      </c>
      <c r="H17" s="4"/>
      <c r="I17" s="4"/>
      <c r="J17" s="4"/>
      <c r="K17" s="48"/>
      <c r="L17" s="41" t="s">
        <v>318</v>
      </c>
      <c r="M17" s="41"/>
      <c r="N17" s="41"/>
      <c r="O17" s="42" t="s">
        <v>319</v>
      </c>
      <c r="P17" s="42"/>
      <c r="Q17" s="42"/>
      <c r="R17" s="43" t="s">
        <v>320</v>
      </c>
      <c r="S17" s="43"/>
      <c r="T17" s="43"/>
      <c r="U17" s="48" t="s">
        <v>320</v>
      </c>
      <c r="V17" s="48"/>
    </row>
    <row r="18" spans="1:22" ht="18">
      <c r="A18" s="234" t="s">
        <v>37</v>
      </c>
      <c r="B18" s="372"/>
      <c r="C18" s="3" t="s">
        <v>19</v>
      </c>
      <c r="D18" s="3" t="s">
        <v>468</v>
      </c>
      <c r="E18" s="11">
        <v>45094</v>
      </c>
      <c r="F18" s="11">
        <f t="shared" si="0"/>
        <v>45155</v>
      </c>
      <c r="G18" s="3" t="s">
        <v>158</v>
      </c>
      <c r="H18" s="4"/>
      <c r="I18" s="4"/>
      <c r="J18" s="4"/>
      <c r="K18" s="49"/>
      <c r="L18" s="49"/>
      <c r="M18" s="50"/>
      <c r="N18" s="50"/>
      <c r="O18" s="50"/>
      <c r="P18" s="40"/>
      <c r="Q18" s="40"/>
      <c r="R18" s="40"/>
      <c r="S18" s="51"/>
      <c r="T18" s="51"/>
      <c r="U18" s="51"/>
      <c r="V18" s="49"/>
    </row>
    <row r="19" spans="1:22" ht="18">
      <c r="A19" s="234" t="s">
        <v>37</v>
      </c>
      <c r="B19" s="373"/>
      <c r="C19" s="3" t="s">
        <v>19</v>
      </c>
      <c r="D19" s="3" t="s">
        <v>468</v>
      </c>
      <c r="E19" s="11">
        <v>45094</v>
      </c>
      <c r="F19" s="11">
        <f t="shared" si="0"/>
        <v>45155</v>
      </c>
      <c r="G19" s="3" t="s">
        <v>135</v>
      </c>
      <c r="H19" s="4"/>
      <c r="I19" s="4"/>
      <c r="J19" s="4"/>
      <c r="K19" s="44"/>
      <c r="L19" s="44" t="s">
        <v>317</v>
      </c>
      <c r="M19" s="45"/>
      <c r="N19" s="45"/>
      <c r="O19" s="45" t="s">
        <v>317</v>
      </c>
      <c r="P19" s="46"/>
      <c r="Q19" s="46"/>
      <c r="R19" s="46" t="s">
        <v>317</v>
      </c>
      <c r="S19" s="47"/>
      <c r="T19" s="47"/>
      <c r="U19" s="47" t="s">
        <v>317</v>
      </c>
      <c r="V19" s="44"/>
    </row>
    <row r="20" spans="1:22" s="87" customFormat="1" ht="18">
      <c r="A20" s="410"/>
      <c r="B20" s="27"/>
      <c r="C20" s="27"/>
      <c r="D20" s="27"/>
      <c r="E20" s="84"/>
      <c r="F20" s="84"/>
      <c r="G20" s="27"/>
      <c r="H20" s="27"/>
      <c r="I20" s="27"/>
      <c r="J20" s="85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</row>
    <row r="21" spans="1:22" s="87" customFormat="1" ht="18">
      <c r="A21" s="411"/>
      <c r="B21" s="27"/>
      <c r="C21" s="27"/>
      <c r="D21" s="27"/>
      <c r="E21" s="84"/>
      <c r="F21" s="84"/>
      <c r="G21" s="27"/>
      <c r="H21" s="27"/>
      <c r="I21" s="27"/>
      <c r="J21" s="85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</row>
    <row r="22" spans="1:22" s="87" customFormat="1" ht="18">
      <c r="A22" s="27"/>
      <c r="B22" s="27"/>
      <c r="C22" s="27"/>
      <c r="D22" s="27"/>
      <c r="E22" s="84"/>
      <c r="F22" s="84"/>
      <c r="G22" s="27"/>
      <c r="H22" s="27"/>
      <c r="I22" s="27"/>
      <c r="J22" s="85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</row>
    <row r="23" spans="1:22" s="87" customFormat="1" ht="18">
      <c r="A23" s="27"/>
      <c r="B23" s="27"/>
      <c r="C23" s="27"/>
      <c r="D23" s="27"/>
      <c r="E23" s="84"/>
      <c r="F23" s="84"/>
      <c r="G23" s="27"/>
      <c r="H23" s="27"/>
      <c r="I23" s="27"/>
      <c r="J23" s="85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</row>
  </sheetData>
  <autoFilter ref="A1:J1" xr:uid="{00000000-0001-0000-0100-000000000000}"/>
  <mergeCells count="4">
    <mergeCell ref="B8:B9"/>
    <mergeCell ref="B11:B12"/>
    <mergeCell ref="B16:B19"/>
    <mergeCell ref="A20:A21"/>
  </mergeCells>
  <phoneticPr fontId="1" type="noConversion"/>
  <conditionalFormatting sqref="M22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{96A41FDB-FF73-49BD-90AE-E641BF456ED5}</x14:id>
        </ext>
      </extLst>
    </cfRule>
    <cfRule type="colorScale" priority="4">
      <colorScale>
        <cfvo type="num" val="0"/>
        <cfvo type="num" val="0"/>
        <color rgb="FFFF7128"/>
        <color rgb="FFFFEF9C"/>
      </colorScale>
    </cfRule>
  </conditionalFormatting>
  <conditionalFormatting sqref="M2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{5F465B60-D303-4AE7-9E8F-D882E2C713A3}</x14:id>
        </ext>
      </extLst>
    </cfRule>
    <cfRule type="colorScale" priority="2">
      <colorScale>
        <cfvo type="num" val="0"/>
        <cfvo type="num" val="0"/>
        <color rgb="FFFF7128"/>
        <color rgb="FFFFEF9C"/>
      </colorScale>
    </cfRule>
  </conditionalFormatting>
  <dataValidations count="2">
    <dataValidation type="list" allowBlank="1" showInputMessage="1" showErrorMessage="1" sqref="A22:A92 A2:A19" xr:uid="{1A20FFCB-3517-40A0-8F1F-E773A61091F1}">
      <formula1>"POST,HNCB,FCB,BOT,NET"</formula1>
    </dataValidation>
    <dataValidation type="list" allowBlank="1" showInputMessage="1" showErrorMessage="1" sqref="C2:C19" xr:uid="{D03062EC-397B-41CE-B60E-C9F817DC476F}">
      <formula1>"台北市"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6A41FDB-FF73-49BD-90AE-E641BF456E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M22</xm:sqref>
        </x14:conditionalFormatting>
        <x14:conditionalFormatting xmlns:xm="http://schemas.microsoft.com/office/excel/2006/main">
          <x14:cfRule type="dataBar" id="{5F465B60-D303-4AE7-9E8F-D882E2C713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M23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28211-1976-42D0-9D11-FE4418072501}">
  <sheetPr>
    <tabColor theme="9"/>
  </sheetPr>
  <dimension ref="A1:AW26"/>
  <sheetViews>
    <sheetView zoomScale="80" zoomScaleNormal="80" workbookViewId="0">
      <pane xSplit="7" topLeftCell="O1" activePane="topRight" state="frozen"/>
      <selection pane="topRight" activeCell="I3" sqref="I3"/>
    </sheetView>
  </sheetViews>
  <sheetFormatPr defaultColWidth="10.81640625" defaultRowHeight="17"/>
  <cols>
    <col min="1" max="1" width="10.81640625" style="2"/>
    <col min="2" max="2" width="26.6328125" style="2" customWidth="1"/>
    <col min="3" max="4" width="12.81640625" style="2" customWidth="1"/>
    <col min="5" max="5" width="16.08984375" style="78" customWidth="1"/>
    <col min="6" max="6" width="17.7265625" style="78" customWidth="1"/>
    <col min="7" max="7" width="18.453125" style="2" customWidth="1"/>
    <col min="8" max="9" width="14.08984375" style="2" customWidth="1"/>
    <col min="10" max="10" width="32.6328125" style="1" customWidth="1"/>
    <col min="18" max="18" width="11.90625" customWidth="1"/>
    <col min="21" max="21" width="13.1796875" customWidth="1"/>
  </cols>
  <sheetData>
    <row r="1" spans="1:49" ht="18.5">
      <c r="A1" s="20" t="s">
        <v>0</v>
      </c>
      <c r="B1" s="20" t="s">
        <v>1</v>
      </c>
      <c r="C1" s="20" t="s">
        <v>2</v>
      </c>
      <c r="D1" s="20" t="s">
        <v>3</v>
      </c>
      <c r="E1" s="77" t="s">
        <v>9</v>
      </c>
      <c r="F1" s="77" t="s">
        <v>333</v>
      </c>
      <c r="G1" s="20" t="s">
        <v>4</v>
      </c>
      <c r="H1" s="20" t="s">
        <v>5</v>
      </c>
      <c r="I1" s="20" t="s">
        <v>6</v>
      </c>
      <c r="J1" s="20" t="s">
        <v>7</v>
      </c>
      <c r="K1" s="35" t="s">
        <v>305</v>
      </c>
      <c r="L1" s="35" t="s">
        <v>306</v>
      </c>
      <c r="M1" s="35" t="s">
        <v>307</v>
      </c>
      <c r="N1" s="35" t="s">
        <v>308</v>
      </c>
      <c r="O1" s="35" t="s">
        <v>309</v>
      </c>
      <c r="P1" s="35" t="s">
        <v>310</v>
      </c>
      <c r="Q1" s="35" t="s">
        <v>311</v>
      </c>
      <c r="R1" s="35" t="s">
        <v>312</v>
      </c>
      <c r="S1" s="35" t="s">
        <v>313</v>
      </c>
      <c r="T1" s="35" t="s">
        <v>314</v>
      </c>
      <c r="U1" s="35" t="s">
        <v>315</v>
      </c>
      <c r="V1" s="35" t="s">
        <v>316</v>
      </c>
    </row>
    <row r="2" spans="1:49" s="199" customFormat="1">
      <c r="A2" s="195" t="s">
        <v>10</v>
      </c>
      <c r="B2" s="431" t="s">
        <v>445</v>
      </c>
      <c r="C2" s="427" t="s">
        <v>366</v>
      </c>
      <c r="D2" s="427" t="s">
        <v>446</v>
      </c>
      <c r="E2" s="112">
        <v>45693</v>
      </c>
      <c r="F2" s="112">
        <f>E2+61</f>
        <v>45754</v>
      </c>
      <c r="G2" s="113" t="s">
        <v>354</v>
      </c>
      <c r="H2" s="196">
        <v>45047</v>
      </c>
      <c r="I2" s="197">
        <v>46873</v>
      </c>
      <c r="J2" s="198"/>
      <c r="K2" s="116"/>
      <c r="L2" s="117" t="s">
        <v>357</v>
      </c>
      <c r="M2" s="117"/>
      <c r="N2" s="117"/>
      <c r="O2" s="118" t="s">
        <v>356</v>
      </c>
      <c r="P2" s="118"/>
      <c r="Q2" s="118"/>
      <c r="R2" s="119" t="s">
        <v>357</v>
      </c>
      <c r="S2" s="119"/>
      <c r="T2" s="119"/>
      <c r="U2" s="116" t="s">
        <v>357</v>
      </c>
      <c r="V2" s="120"/>
      <c r="W2" s="4"/>
    </row>
    <row r="3" spans="1:49" s="199" customFormat="1" ht="18">
      <c r="A3" s="195" t="s">
        <v>10</v>
      </c>
      <c r="B3" s="432"/>
      <c r="C3" s="428"/>
      <c r="D3" s="428"/>
      <c r="E3" s="112">
        <v>45693</v>
      </c>
      <c r="F3" s="112">
        <f t="shared" ref="F3:F15" si="0">E3+61</f>
        <v>45754</v>
      </c>
      <c r="G3" s="114" t="s">
        <v>484</v>
      </c>
      <c r="H3" s="200" t="s">
        <v>447</v>
      </c>
      <c r="I3" s="200" t="s">
        <v>448</v>
      </c>
      <c r="J3" s="201"/>
      <c r="K3" s="117"/>
      <c r="L3" s="117" t="s">
        <v>357</v>
      </c>
      <c r="M3" s="117"/>
      <c r="N3" s="118"/>
      <c r="O3" s="118" t="s">
        <v>356</v>
      </c>
      <c r="P3" s="118"/>
      <c r="Q3" s="119"/>
      <c r="R3" s="119" t="s">
        <v>357</v>
      </c>
      <c r="S3" s="119"/>
      <c r="T3" s="116"/>
      <c r="U3" s="116" t="s">
        <v>357</v>
      </c>
      <c r="V3" s="116"/>
      <c r="W3" s="4"/>
    </row>
    <row r="4" spans="1:49" s="199" customFormat="1" ht="18">
      <c r="A4" s="195" t="s">
        <v>10</v>
      </c>
      <c r="B4" s="433"/>
      <c r="C4" s="429"/>
      <c r="D4" s="429"/>
      <c r="E4" s="112">
        <v>45693</v>
      </c>
      <c r="F4" s="112">
        <f t="shared" si="0"/>
        <v>45754</v>
      </c>
      <c r="G4" s="202" t="s">
        <v>364</v>
      </c>
      <c r="H4" s="200"/>
      <c r="I4" s="200"/>
      <c r="J4" s="201"/>
      <c r="K4" s="117"/>
      <c r="L4" s="117" t="s">
        <v>357</v>
      </c>
      <c r="M4" s="118"/>
      <c r="N4" s="118"/>
      <c r="O4" s="118" t="s">
        <v>357</v>
      </c>
      <c r="P4" s="119"/>
      <c r="Q4" s="119"/>
      <c r="R4" s="119" t="s">
        <v>357</v>
      </c>
      <c r="S4" s="116"/>
      <c r="T4" s="116"/>
      <c r="U4" s="116"/>
      <c r="V4" s="117"/>
      <c r="W4" s="4"/>
    </row>
    <row r="5" spans="1:49" s="199" customFormat="1" ht="18">
      <c r="A5" s="195" t="s">
        <v>10</v>
      </c>
      <c r="B5" s="201" t="s">
        <v>449</v>
      </c>
      <c r="C5" s="201" t="s">
        <v>366</v>
      </c>
      <c r="D5" s="201" t="s">
        <v>446</v>
      </c>
      <c r="E5" s="112">
        <v>45693</v>
      </c>
      <c r="F5" s="112">
        <f t="shared" si="0"/>
        <v>45754</v>
      </c>
      <c r="G5" s="114" t="s">
        <v>484</v>
      </c>
      <c r="H5" s="200" t="s">
        <v>447</v>
      </c>
      <c r="I5" s="200" t="s">
        <v>448</v>
      </c>
      <c r="J5" s="201"/>
      <c r="K5" s="117"/>
      <c r="L5" s="117" t="s">
        <v>357</v>
      </c>
      <c r="M5" s="117"/>
      <c r="N5" s="118"/>
      <c r="O5" s="118" t="s">
        <v>356</v>
      </c>
      <c r="P5" s="118"/>
      <c r="Q5" s="119"/>
      <c r="R5" s="119" t="s">
        <v>357</v>
      </c>
      <c r="S5" s="119"/>
      <c r="T5" s="116"/>
      <c r="U5" s="116" t="s">
        <v>356</v>
      </c>
      <c r="V5" s="116"/>
      <c r="W5" s="4"/>
    </row>
    <row r="6" spans="1:49" s="199" customFormat="1" ht="18">
      <c r="A6" s="195" t="s">
        <v>10</v>
      </c>
      <c r="B6" s="201" t="s">
        <v>450</v>
      </c>
      <c r="C6" s="201" t="s">
        <v>366</v>
      </c>
      <c r="D6" s="201" t="s">
        <v>446</v>
      </c>
      <c r="E6" s="112">
        <v>45652</v>
      </c>
      <c r="F6" s="112">
        <f t="shared" si="0"/>
        <v>45713</v>
      </c>
      <c r="G6" s="114" t="s">
        <v>484</v>
      </c>
      <c r="H6" s="200" t="s">
        <v>447</v>
      </c>
      <c r="I6" s="200" t="s">
        <v>451</v>
      </c>
      <c r="J6" s="201"/>
      <c r="K6" s="117"/>
      <c r="L6" s="117" t="s">
        <v>357</v>
      </c>
      <c r="M6" s="117"/>
      <c r="N6" s="118"/>
      <c r="O6" s="118" t="s">
        <v>357</v>
      </c>
      <c r="P6" s="118"/>
      <c r="Q6" s="119"/>
      <c r="R6" s="119" t="s">
        <v>357</v>
      </c>
      <c r="S6" s="119"/>
      <c r="T6" s="116"/>
      <c r="U6" s="116" t="s">
        <v>357</v>
      </c>
      <c r="V6" s="116"/>
      <c r="W6" s="4"/>
    </row>
    <row r="7" spans="1:49" s="199" customFormat="1">
      <c r="A7" s="195" t="s">
        <v>10</v>
      </c>
      <c r="B7" s="201" t="s">
        <v>452</v>
      </c>
      <c r="C7" s="201" t="s">
        <v>366</v>
      </c>
      <c r="D7" s="201" t="s">
        <v>446</v>
      </c>
      <c r="E7" s="112">
        <v>45693</v>
      </c>
      <c r="F7" s="112">
        <f t="shared" si="0"/>
        <v>45754</v>
      </c>
      <c r="G7" s="203" t="s">
        <v>65</v>
      </c>
      <c r="H7" s="204">
        <v>43952</v>
      </c>
      <c r="I7" s="205">
        <v>45777</v>
      </c>
      <c r="J7" s="201"/>
      <c r="K7" s="116"/>
      <c r="L7" s="117" t="s">
        <v>357</v>
      </c>
      <c r="M7" s="117"/>
      <c r="N7" s="117"/>
      <c r="O7" s="118" t="s">
        <v>356</v>
      </c>
      <c r="P7" s="118"/>
      <c r="Q7" s="118"/>
      <c r="R7" s="119" t="s">
        <v>357</v>
      </c>
      <c r="S7" s="119"/>
      <c r="T7" s="119"/>
      <c r="U7" s="116" t="s">
        <v>357</v>
      </c>
      <c r="V7" s="120"/>
      <c r="W7" s="4"/>
      <c r="AW7" s="199">
        <v>123</v>
      </c>
    </row>
    <row r="8" spans="1:49" s="199" customFormat="1">
      <c r="A8" s="195" t="s">
        <v>10</v>
      </c>
      <c r="B8" s="201" t="s">
        <v>453</v>
      </c>
      <c r="C8" s="201" t="s">
        <v>366</v>
      </c>
      <c r="D8" s="201" t="s">
        <v>446</v>
      </c>
      <c r="E8" s="112">
        <v>45693</v>
      </c>
      <c r="F8" s="112">
        <f t="shared" si="0"/>
        <v>45754</v>
      </c>
      <c r="G8" s="203" t="s">
        <v>65</v>
      </c>
      <c r="H8" s="204">
        <v>43952</v>
      </c>
      <c r="I8" s="205">
        <v>45777</v>
      </c>
      <c r="J8" s="201"/>
      <c r="K8" s="116"/>
      <c r="L8" s="117" t="s">
        <v>357</v>
      </c>
      <c r="M8" s="117"/>
      <c r="N8" s="117"/>
      <c r="O8" s="118" t="s">
        <v>356</v>
      </c>
      <c r="P8" s="118"/>
      <c r="Q8" s="118"/>
      <c r="R8" s="119" t="s">
        <v>357</v>
      </c>
      <c r="S8" s="119"/>
      <c r="T8" s="119"/>
      <c r="U8" s="116" t="s">
        <v>357</v>
      </c>
      <c r="V8" s="120"/>
      <c r="W8" s="4"/>
    </row>
    <row r="9" spans="1:49" s="199" customFormat="1">
      <c r="A9" s="195" t="s">
        <v>10</v>
      </c>
      <c r="B9" s="201" t="s">
        <v>454</v>
      </c>
      <c r="C9" s="201" t="s">
        <v>366</v>
      </c>
      <c r="D9" s="201" t="s">
        <v>446</v>
      </c>
      <c r="E9" s="112">
        <v>45693</v>
      </c>
      <c r="F9" s="112">
        <f t="shared" si="0"/>
        <v>45754</v>
      </c>
      <c r="G9" s="203" t="s">
        <v>65</v>
      </c>
      <c r="H9" s="204">
        <v>43952</v>
      </c>
      <c r="I9" s="205">
        <v>45777</v>
      </c>
      <c r="J9" s="201"/>
      <c r="K9" s="116"/>
      <c r="L9" s="117" t="s">
        <v>357</v>
      </c>
      <c r="M9" s="117"/>
      <c r="N9" s="117"/>
      <c r="O9" s="118" t="s">
        <v>356</v>
      </c>
      <c r="P9" s="118"/>
      <c r="Q9" s="118"/>
      <c r="R9" s="119" t="s">
        <v>357</v>
      </c>
      <c r="S9" s="119"/>
      <c r="T9" s="119"/>
      <c r="U9" s="116" t="s">
        <v>357</v>
      </c>
      <c r="V9" s="120"/>
      <c r="W9" s="4"/>
    </row>
    <row r="10" spans="1:49" s="199" customFormat="1">
      <c r="A10" s="195" t="s">
        <v>10</v>
      </c>
      <c r="B10" s="201" t="s">
        <v>455</v>
      </c>
      <c r="C10" s="201" t="s">
        <v>366</v>
      </c>
      <c r="D10" s="201" t="s">
        <v>446</v>
      </c>
      <c r="E10" s="112">
        <v>45693</v>
      </c>
      <c r="F10" s="112">
        <f t="shared" si="0"/>
        <v>45754</v>
      </c>
      <c r="G10" s="203" t="s">
        <v>65</v>
      </c>
      <c r="H10" s="204">
        <v>43952</v>
      </c>
      <c r="I10" s="205">
        <v>45777</v>
      </c>
      <c r="J10" s="201"/>
      <c r="K10" s="116"/>
      <c r="L10" s="117" t="s">
        <v>357</v>
      </c>
      <c r="M10" s="117"/>
      <c r="N10" s="117"/>
      <c r="O10" s="118" t="s">
        <v>356</v>
      </c>
      <c r="P10" s="118"/>
      <c r="Q10" s="118"/>
      <c r="R10" s="119" t="s">
        <v>357</v>
      </c>
      <c r="S10" s="119"/>
      <c r="T10" s="119"/>
      <c r="U10" s="116" t="s">
        <v>357</v>
      </c>
      <c r="V10" s="120"/>
      <c r="W10" s="4"/>
    </row>
    <row r="11" spans="1:49" s="199" customFormat="1">
      <c r="A11" s="195" t="s">
        <v>10</v>
      </c>
      <c r="B11" s="201" t="s">
        <v>456</v>
      </c>
      <c r="C11" s="201" t="s">
        <v>366</v>
      </c>
      <c r="D11" s="201" t="s">
        <v>446</v>
      </c>
      <c r="E11" s="112">
        <v>45693</v>
      </c>
      <c r="F11" s="112">
        <f t="shared" si="0"/>
        <v>45754</v>
      </c>
      <c r="G11" s="203" t="s">
        <v>65</v>
      </c>
      <c r="H11" s="204">
        <v>43952</v>
      </c>
      <c r="I11" s="205">
        <v>45777</v>
      </c>
      <c r="J11" s="201"/>
      <c r="K11" s="116"/>
      <c r="L11" s="117" t="s">
        <v>357</v>
      </c>
      <c r="M11" s="117"/>
      <c r="N11" s="117"/>
      <c r="O11" s="118" t="s">
        <v>356</v>
      </c>
      <c r="P11" s="118"/>
      <c r="Q11" s="118"/>
      <c r="R11" s="119" t="s">
        <v>357</v>
      </c>
      <c r="S11" s="119"/>
      <c r="T11" s="119"/>
      <c r="U11" s="116" t="s">
        <v>357</v>
      </c>
      <c r="V11" s="120"/>
      <c r="W11" s="4"/>
    </row>
    <row r="12" spans="1:49" s="199" customFormat="1">
      <c r="A12" s="206" t="s">
        <v>24</v>
      </c>
      <c r="B12" s="201" t="s">
        <v>457</v>
      </c>
      <c r="C12" s="201" t="s">
        <v>366</v>
      </c>
      <c r="D12" s="201" t="s">
        <v>446</v>
      </c>
      <c r="E12" s="112">
        <v>45693</v>
      </c>
      <c r="F12" s="112">
        <f t="shared" si="0"/>
        <v>45754</v>
      </c>
      <c r="G12" s="111" t="s">
        <v>355</v>
      </c>
      <c r="H12" s="207" t="s">
        <v>458</v>
      </c>
      <c r="I12" s="207" t="s">
        <v>459</v>
      </c>
      <c r="J12" s="201"/>
      <c r="K12" s="117"/>
      <c r="L12" s="117" t="s">
        <v>357</v>
      </c>
      <c r="M12" s="117"/>
      <c r="N12" s="118"/>
      <c r="O12" s="118" t="s">
        <v>356</v>
      </c>
      <c r="P12" s="118"/>
      <c r="Q12" s="119"/>
      <c r="R12" s="119" t="s">
        <v>357</v>
      </c>
      <c r="S12" s="119"/>
      <c r="T12" s="116"/>
      <c r="U12" s="116" t="s">
        <v>357</v>
      </c>
      <c r="V12" s="120"/>
      <c r="W12" s="4"/>
    </row>
    <row r="13" spans="1:49" s="199" customFormat="1">
      <c r="A13" s="206" t="s">
        <v>24</v>
      </c>
      <c r="B13" s="201" t="s">
        <v>445</v>
      </c>
      <c r="C13" s="201" t="s">
        <v>366</v>
      </c>
      <c r="D13" s="201" t="s">
        <v>446</v>
      </c>
      <c r="E13" s="112">
        <v>45693</v>
      </c>
      <c r="F13" s="112">
        <f t="shared" si="0"/>
        <v>45754</v>
      </c>
      <c r="G13" s="53" t="s">
        <v>460</v>
      </c>
      <c r="H13" s="193"/>
      <c r="I13" s="194"/>
      <c r="J13" s="130"/>
      <c r="K13" s="122"/>
      <c r="L13" s="122"/>
      <c r="M13" s="123"/>
      <c r="N13" s="119"/>
      <c r="O13" s="119"/>
      <c r="P13" s="115"/>
      <c r="Q13" s="115"/>
      <c r="R13" s="115"/>
      <c r="S13" s="121"/>
      <c r="T13" s="121"/>
      <c r="U13" s="116" t="s">
        <v>357</v>
      </c>
      <c r="V13" s="122"/>
      <c r="W13" s="4"/>
    </row>
    <row r="14" spans="1:49" s="199" customFormat="1">
      <c r="A14" s="206" t="s">
        <v>24</v>
      </c>
      <c r="B14" s="201" t="s">
        <v>461</v>
      </c>
      <c r="C14" s="201" t="s">
        <v>366</v>
      </c>
      <c r="D14" s="201" t="s">
        <v>446</v>
      </c>
      <c r="E14" s="112">
        <v>45693</v>
      </c>
      <c r="F14" s="112">
        <f t="shared" si="0"/>
        <v>45754</v>
      </c>
      <c r="G14" s="111" t="s">
        <v>355</v>
      </c>
      <c r="H14" s="207" t="s">
        <v>458</v>
      </c>
      <c r="I14" s="207" t="s">
        <v>459</v>
      </c>
      <c r="J14" s="201"/>
      <c r="K14" s="117"/>
      <c r="L14" s="117"/>
      <c r="M14" s="117"/>
      <c r="N14" s="118"/>
      <c r="O14" s="118"/>
      <c r="P14" s="118"/>
      <c r="Q14" s="208" t="s">
        <v>357</v>
      </c>
      <c r="R14" s="119"/>
      <c r="S14" s="119"/>
      <c r="T14" s="116"/>
      <c r="U14" s="116" t="s">
        <v>357</v>
      </c>
      <c r="V14" s="120"/>
      <c r="W14" s="4"/>
    </row>
    <row r="15" spans="1:49" s="199" customFormat="1">
      <c r="A15" s="206" t="s">
        <v>24</v>
      </c>
      <c r="B15" s="201" t="s">
        <v>462</v>
      </c>
      <c r="C15" s="201" t="s">
        <v>366</v>
      </c>
      <c r="D15" s="201" t="s">
        <v>446</v>
      </c>
      <c r="E15" s="112">
        <v>45693</v>
      </c>
      <c r="F15" s="112">
        <f t="shared" si="0"/>
        <v>45754</v>
      </c>
      <c r="G15" s="53" t="s">
        <v>460</v>
      </c>
      <c r="H15" s="193"/>
      <c r="I15" s="194"/>
      <c r="J15" s="130"/>
      <c r="K15" s="122"/>
      <c r="L15" s="122"/>
      <c r="M15" s="123"/>
      <c r="N15" s="119"/>
      <c r="O15" s="119"/>
      <c r="P15" s="115"/>
      <c r="Q15" s="115"/>
      <c r="R15" s="115"/>
      <c r="S15" s="121"/>
      <c r="T15" s="121"/>
      <c r="U15" s="116" t="s">
        <v>357</v>
      </c>
      <c r="V15" s="122"/>
      <c r="W15" s="4"/>
    </row>
    <row r="16" spans="1:49" s="199" customFormat="1">
      <c r="A16" s="209" t="s">
        <v>37</v>
      </c>
      <c r="B16" s="427" t="s">
        <v>445</v>
      </c>
      <c r="C16" s="201" t="s">
        <v>366</v>
      </c>
      <c r="D16" s="201" t="s">
        <v>446</v>
      </c>
      <c r="E16" s="112"/>
      <c r="F16" s="112"/>
      <c r="G16" s="203" t="s">
        <v>47</v>
      </c>
      <c r="H16" s="210">
        <v>43525</v>
      </c>
      <c r="I16" s="210">
        <v>43889</v>
      </c>
      <c r="J16" s="201">
        <v>168</v>
      </c>
      <c r="K16" s="116"/>
      <c r="L16" s="116"/>
      <c r="M16" s="117"/>
      <c r="N16" s="117"/>
      <c r="O16" s="117"/>
      <c r="P16" s="118"/>
      <c r="Q16" s="211" t="s">
        <v>357</v>
      </c>
      <c r="R16" s="118"/>
      <c r="S16" s="119"/>
      <c r="T16" s="119"/>
      <c r="U16" s="119"/>
      <c r="V16" s="120"/>
      <c r="W16" s="4"/>
    </row>
    <row r="17" spans="1:23" s="199" customFormat="1" ht="18">
      <c r="A17" s="209" t="s">
        <v>37</v>
      </c>
      <c r="B17" s="428"/>
      <c r="C17" s="201" t="s">
        <v>366</v>
      </c>
      <c r="D17" s="201" t="s">
        <v>446</v>
      </c>
      <c r="E17" s="112"/>
      <c r="F17" s="112"/>
      <c r="G17" s="203" t="s">
        <v>43</v>
      </c>
      <c r="H17" s="210">
        <v>42770</v>
      </c>
      <c r="I17" s="210">
        <v>44230</v>
      </c>
      <c r="J17" s="201"/>
      <c r="K17" s="127"/>
      <c r="L17" s="124" t="s">
        <v>359</v>
      </c>
      <c r="M17" s="124"/>
      <c r="N17" s="124"/>
      <c r="O17" s="125" t="s">
        <v>360</v>
      </c>
      <c r="P17" s="125"/>
      <c r="Q17" s="212" t="s">
        <v>357</v>
      </c>
      <c r="R17" s="126" t="s">
        <v>359</v>
      </c>
      <c r="S17" s="126"/>
      <c r="T17" s="126"/>
      <c r="U17" s="127" t="s">
        <v>359</v>
      </c>
      <c r="V17" s="129"/>
      <c r="W17" s="213"/>
    </row>
    <row r="18" spans="1:23" s="199" customFormat="1" ht="18">
      <c r="A18" s="209" t="s">
        <v>37</v>
      </c>
      <c r="B18" s="428"/>
      <c r="C18" s="201" t="s">
        <v>366</v>
      </c>
      <c r="D18" s="201" t="s">
        <v>446</v>
      </c>
      <c r="E18" s="112"/>
      <c r="F18" s="112"/>
      <c r="G18" s="203" t="s">
        <v>45</v>
      </c>
      <c r="H18" s="210">
        <v>43525</v>
      </c>
      <c r="I18" s="210">
        <v>43889</v>
      </c>
      <c r="J18" s="201"/>
      <c r="K18" s="116"/>
      <c r="L18" s="116"/>
      <c r="M18" s="117"/>
      <c r="N18" s="117"/>
      <c r="O18" s="117"/>
      <c r="P18" s="118"/>
      <c r="Q18" s="211" t="s">
        <v>357</v>
      </c>
      <c r="R18" s="118"/>
      <c r="S18" s="119"/>
      <c r="T18" s="119"/>
      <c r="U18" s="119"/>
      <c r="V18" s="120"/>
      <c r="W18" s="213"/>
    </row>
    <row r="19" spans="1:23" s="199" customFormat="1" ht="18">
      <c r="A19" s="209" t="s">
        <v>37</v>
      </c>
      <c r="B19" s="428"/>
      <c r="C19" s="201" t="s">
        <v>366</v>
      </c>
      <c r="D19" s="201" t="s">
        <v>446</v>
      </c>
      <c r="E19" s="112"/>
      <c r="F19" s="112"/>
      <c r="G19" s="203" t="s">
        <v>44</v>
      </c>
      <c r="H19" s="210">
        <v>43342</v>
      </c>
      <c r="I19" s="210">
        <v>44802</v>
      </c>
      <c r="J19" s="201"/>
      <c r="K19" s="124"/>
      <c r="L19" s="124" t="s">
        <v>358</v>
      </c>
      <c r="M19" s="125"/>
      <c r="N19" s="125"/>
      <c r="O19" s="125" t="s">
        <v>358</v>
      </c>
      <c r="P19" s="126"/>
      <c r="Q19" s="214" t="s">
        <v>357</v>
      </c>
      <c r="R19" s="126" t="s">
        <v>358</v>
      </c>
      <c r="S19" s="127"/>
      <c r="T19" s="127"/>
      <c r="U19" s="127" t="s">
        <v>358</v>
      </c>
      <c r="V19" s="128"/>
      <c r="W19" s="213"/>
    </row>
    <row r="20" spans="1:23" s="199" customFormat="1" ht="18" customHeight="1">
      <c r="A20" s="209" t="s">
        <v>37</v>
      </c>
      <c r="B20" s="429"/>
      <c r="C20" s="201" t="s">
        <v>366</v>
      </c>
      <c r="D20" s="201" t="s">
        <v>446</v>
      </c>
      <c r="E20" s="112"/>
      <c r="F20" s="112"/>
      <c r="G20" s="203" t="s">
        <v>463</v>
      </c>
      <c r="H20" s="210">
        <v>43138</v>
      </c>
      <c r="I20" s="210">
        <v>43502</v>
      </c>
      <c r="J20" s="201"/>
      <c r="K20" s="215"/>
      <c r="L20" s="216">
        <v>7</v>
      </c>
      <c r="M20" s="216"/>
      <c r="N20" s="216"/>
      <c r="O20" s="217">
        <v>7</v>
      </c>
      <c r="P20" s="217"/>
      <c r="Q20" s="212" t="s">
        <v>357</v>
      </c>
      <c r="R20" s="218">
        <v>7</v>
      </c>
      <c r="S20" s="218"/>
      <c r="T20" s="218"/>
      <c r="U20" s="215">
        <v>7</v>
      </c>
      <c r="V20" s="215"/>
      <c r="W20" s="4"/>
    </row>
    <row r="21" spans="1:23" s="199" customFormat="1">
      <c r="A21" s="209" t="s">
        <v>37</v>
      </c>
      <c r="B21" s="430" t="s">
        <v>524</v>
      </c>
      <c r="C21" s="201" t="s">
        <v>366</v>
      </c>
      <c r="D21" s="201" t="s">
        <v>446</v>
      </c>
      <c r="E21" s="112"/>
      <c r="F21" s="112"/>
      <c r="G21" s="203" t="s">
        <v>47</v>
      </c>
      <c r="H21" s="210">
        <v>43525</v>
      </c>
      <c r="I21" s="210">
        <v>43889</v>
      </c>
      <c r="J21" s="201"/>
      <c r="K21" s="116"/>
      <c r="L21" s="116"/>
      <c r="M21" s="117"/>
      <c r="N21" s="117"/>
      <c r="O21" s="117"/>
      <c r="P21" s="118"/>
      <c r="Q21" s="211" t="s">
        <v>357</v>
      </c>
      <c r="R21" s="118"/>
      <c r="S21" s="119"/>
      <c r="T21" s="119"/>
      <c r="U21" s="119"/>
      <c r="V21" s="120"/>
      <c r="W21" s="4"/>
    </row>
    <row r="22" spans="1:23" s="199" customFormat="1" ht="18">
      <c r="A22" s="209" t="s">
        <v>37</v>
      </c>
      <c r="B22" s="430"/>
      <c r="C22" s="201" t="s">
        <v>366</v>
      </c>
      <c r="D22" s="201" t="s">
        <v>446</v>
      </c>
      <c r="E22" s="112"/>
      <c r="F22" s="112"/>
      <c r="G22" s="203" t="s">
        <v>44</v>
      </c>
      <c r="H22" s="210">
        <v>43342</v>
      </c>
      <c r="I22" s="210">
        <v>44802</v>
      </c>
      <c r="J22" s="201"/>
      <c r="K22" s="124"/>
      <c r="L22" s="124" t="s">
        <v>358</v>
      </c>
      <c r="M22" s="125"/>
      <c r="N22" s="125"/>
      <c r="O22" s="125" t="s">
        <v>358</v>
      </c>
      <c r="P22" s="126"/>
      <c r="Q22" s="214" t="s">
        <v>357</v>
      </c>
      <c r="R22" s="126" t="s">
        <v>358</v>
      </c>
      <c r="S22" s="127"/>
      <c r="T22" s="127"/>
      <c r="U22" s="127" t="s">
        <v>358</v>
      </c>
      <c r="V22" s="128"/>
      <c r="W22" s="213"/>
    </row>
    <row r="23" spans="1:23" s="199" customFormat="1" ht="18">
      <c r="A23" s="209" t="s">
        <v>37</v>
      </c>
      <c r="B23" s="430"/>
      <c r="C23" s="201" t="s">
        <v>366</v>
      </c>
      <c r="D23" s="201" t="s">
        <v>446</v>
      </c>
      <c r="E23" s="112"/>
      <c r="F23" s="112"/>
      <c r="G23" s="203" t="s">
        <v>43</v>
      </c>
      <c r="H23" s="210">
        <v>42770</v>
      </c>
      <c r="I23" s="210">
        <v>44230</v>
      </c>
      <c r="J23" s="201"/>
      <c r="K23" s="127"/>
      <c r="L23" s="124" t="s">
        <v>359</v>
      </c>
      <c r="M23" s="124"/>
      <c r="N23" s="124"/>
      <c r="O23" s="125" t="s">
        <v>360</v>
      </c>
      <c r="P23" s="125"/>
      <c r="Q23" s="212" t="s">
        <v>357</v>
      </c>
      <c r="R23" s="126" t="s">
        <v>359</v>
      </c>
      <c r="S23" s="126"/>
      <c r="T23" s="126"/>
      <c r="U23" s="127" t="s">
        <v>359</v>
      </c>
      <c r="V23" s="129"/>
      <c r="W23" s="213"/>
    </row>
    <row r="24" spans="1:23" s="199" customFormat="1" ht="18">
      <c r="A24" s="209" t="s">
        <v>37</v>
      </c>
      <c r="B24" s="430"/>
      <c r="C24" s="201" t="s">
        <v>366</v>
      </c>
      <c r="D24" s="201" t="s">
        <v>446</v>
      </c>
      <c r="E24" s="112"/>
      <c r="F24" s="112"/>
      <c r="G24" s="203" t="s">
        <v>463</v>
      </c>
      <c r="H24" s="210">
        <v>43138</v>
      </c>
      <c r="I24" s="210">
        <v>43502</v>
      </c>
      <c r="J24" s="201"/>
      <c r="K24" s="215"/>
      <c r="L24" s="216">
        <v>7</v>
      </c>
      <c r="M24" s="216"/>
      <c r="N24" s="216"/>
      <c r="O24" s="217">
        <v>7</v>
      </c>
      <c r="P24" s="217"/>
      <c r="Q24" s="212" t="s">
        <v>357</v>
      </c>
      <c r="R24" s="218">
        <v>7</v>
      </c>
      <c r="S24" s="218"/>
      <c r="T24" s="218"/>
      <c r="U24" s="215">
        <v>7</v>
      </c>
      <c r="V24" s="215"/>
      <c r="W24" s="4"/>
    </row>
    <row r="25" spans="1:23" s="199" customFormat="1" ht="18">
      <c r="A25" s="209" t="s">
        <v>37</v>
      </c>
      <c r="B25" s="430"/>
      <c r="C25" s="201" t="s">
        <v>366</v>
      </c>
      <c r="D25" s="201" t="s">
        <v>446</v>
      </c>
      <c r="E25" s="112"/>
      <c r="F25" s="112"/>
      <c r="G25" s="203" t="s">
        <v>464</v>
      </c>
      <c r="H25" s="219">
        <v>43783</v>
      </c>
      <c r="I25" s="219">
        <v>44513</v>
      </c>
      <c r="J25" s="201"/>
      <c r="K25" s="215"/>
      <c r="L25" s="220">
        <v>44240</v>
      </c>
      <c r="M25" s="216"/>
      <c r="N25" s="216"/>
      <c r="O25" s="221">
        <v>44329</v>
      </c>
      <c r="P25" s="217"/>
      <c r="Q25" s="212" t="s">
        <v>357</v>
      </c>
      <c r="R25" s="222">
        <v>44421</v>
      </c>
      <c r="S25" s="218"/>
      <c r="T25" s="218"/>
      <c r="U25" s="223">
        <v>44513</v>
      </c>
      <c r="V25" s="215"/>
      <c r="W25" s="133"/>
    </row>
    <row r="26" spans="1:23" s="1" customFormat="1" ht="34.25" customHeight="1">
      <c r="A26" s="224" t="s">
        <v>362</v>
      </c>
      <c r="B26" s="225" t="s">
        <v>465</v>
      </c>
      <c r="C26" s="7"/>
      <c r="D26" s="133"/>
      <c r="E26" s="6">
        <v>45049</v>
      </c>
      <c r="F26" s="112">
        <v>45134</v>
      </c>
      <c r="G26" s="133" t="s">
        <v>361</v>
      </c>
      <c r="H26" s="6"/>
      <c r="I26" s="226"/>
      <c r="J26" s="227" t="s">
        <v>466</v>
      </c>
      <c r="K26" s="134"/>
      <c r="L26" s="134" t="s">
        <v>363</v>
      </c>
      <c r="M26" s="135"/>
      <c r="N26" s="135"/>
      <c r="O26" s="135" t="s">
        <v>363</v>
      </c>
      <c r="P26" s="46"/>
      <c r="Q26" s="46"/>
      <c r="R26" s="46" t="s">
        <v>363</v>
      </c>
      <c r="S26" s="136"/>
      <c r="T26" s="136"/>
      <c r="U26" s="136" t="s">
        <v>363</v>
      </c>
      <c r="V26" s="134"/>
      <c r="W26" s="7"/>
    </row>
  </sheetData>
  <autoFilter ref="A1:J1" xr:uid="{00000000-0001-0000-0100-000000000000}"/>
  <mergeCells count="5">
    <mergeCell ref="D2:D4"/>
    <mergeCell ref="B16:B20"/>
    <mergeCell ref="B21:B25"/>
    <mergeCell ref="B2:B4"/>
    <mergeCell ref="C2:C4"/>
  </mergeCells>
  <phoneticPr fontId="1" type="noConversion"/>
  <dataValidations count="1">
    <dataValidation type="list" allowBlank="1" showInputMessage="1" showErrorMessage="1" sqref="A2:A25 A27:A55" xr:uid="{728C603A-759B-48D3-A3F1-B4EAC0811DA3}">
      <formula1>"POST,HNCB,FCB,BOT,NET"</formula1>
    </dataValidation>
  </dataValidation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86C37-7FC5-4247-AB10-F950BAEB3C44}">
  <sheetPr>
    <tabColor theme="9"/>
  </sheetPr>
  <dimension ref="A1:W49"/>
  <sheetViews>
    <sheetView zoomScale="79" zoomScaleNormal="80" workbookViewId="0">
      <pane xSplit="7" topLeftCell="H1" activePane="topRight" state="frozen"/>
      <selection pane="topRight" activeCell="E17" sqref="E17"/>
    </sheetView>
  </sheetViews>
  <sheetFormatPr defaultColWidth="10.81640625" defaultRowHeight="17"/>
  <cols>
    <col min="1" max="1" width="10.81640625" style="2"/>
    <col min="2" max="2" width="26.6328125" style="2" customWidth="1"/>
    <col min="3" max="4" width="12.81640625" style="2" customWidth="1"/>
    <col min="5" max="5" width="16.08984375" style="78" customWidth="1"/>
    <col min="6" max="6" width="17.7265625" style="78" customWidth="1"/>
    <col min="7" max="7" width="18.453125" style="2" customWidth="1"/>
    <col min="8" max="9" width="14.08984375" style="2" customWidth="1"/>
    <col min="10" max="10" width="32.6328125" style="1" customWidth="1"/>
  </cols>
  <sheetData>
    <row r="1" spans="1:22" ht="18.5">
      <c r="A1" s="20" t="s">
        <v>0</v>
      </c>
      <c r="B1" s="20" t="s">
        <v>1</v>
      </c>
      <c r="C1" s="20" t="s">
        <v>2</v>
      </c>
      <c r="D1" s="20" t="s">
        <v>3</v>
      </c>
      <c r="E1" s="77" t="s">
        <v>9</v>
      </c>
      <c r="F1" s="77" t="s">
        <v>333</v>
      </c>
      <c r="G1" s="20" t="s">
        <v>4</v>
      </c>
      <c r="H1" s="20" t="s">
        <v>5</v>
      </c>
      <c r="I1" s="20" t="s">
        <v>6</v>
      </c>
      <c r="J1" s="20" t="s">
        <v>7</v>
      </c>
      <c r="K1" s="35" t="s">
        <v>305</v>
      </c>
      <c r="L1" s="35" t="s">
        <v>306</v>
      </c>
      <c r="M1" s="35" t="s">
        <v>307</v>
      </c>
      <c r="N1" s="35" t="s">
        <v>308</v>
      </c>
      <c r="O1" s="35" t="s">
        <v>309</v>
      </c>
      <c r="P1" s="35" t="s">
        <v>310</v>
      </c>
      <c r="Q1" s="35" t="s">
        <v>311</v>
      </c>
      <c r="R1" s="35" t="s">
        <v>312</v>
      </c>
      <c r="S1" s="35" t="s">
        <v>313</v>
      </c>
      <c r="T1" s="35" t="s">
        <v>314</v>
      </c>
      <c r="U1" s="35" t="s">
        <v>315</v>
      </c>
      <c r="V1" s="35" t="s">
        <v>316</v>
      </c>
    </row>
    <row r="2" spans="1:22" s="165" customFormat="1" ht="93">
      <c r="A2" s="385" t="s">
        <v>10</v>
      </c>
      <c r="B2" s="371" t="s">
        <v>206</v>
      </c>
      <c r="C2" s="371" t="s">
        <v>137</v>
      </c>
      <c r="D2" s="371" t="s">
        <v>221</v>
      </c>
      <c r="E2" s="158">
        <v>45741</v>
      </c>
      <c r="F2" s="158">
        <f>E2+61</f>
        <v>45802</v>
      </c>
      <c r="G2" s="159" t="s">
        <v>222</v>
      </c>
      <c r="H2" s="160">
        <v>44136</v>
      </c>
      <c r="I2" s="160">
        <v>45960</v>
      </c>
      <c r="J2" s="131" t="s">
        <v>409</v>
      </c>
      <c r="K2" s="161"/>
      <c r="L2" s="162"/>
      <c r="M2" s="162"/>
      <c r="N2" s="162"/>
      <c r="O2" s="163"/>
      <c r="P2" s="163"/>
      <c r="Q2" s="163"/>
      <c r="R2" s="164"/>
      <c r="S2" s="164"/>
      <c r="T2" s="164"/>
      <c r="U2" s="161"/>
      <c r="V2" s="161"/>
    </row>
    <row r="3" spans="1:22" s="165" customFormat="1" ht="18">
      <c r="A3" s="386"/>
      <c r="B3" s="373"/>
      <c r="C3" s="373" t="s">
        <v>137</v>
      </c>
      <c r="D3" s="373" t="s">
        <v>221</v>
      </c>
      <c r="E3" s="158">
        <v>45741</v>
      </c>
      <c r="F3" s="158">
        <f t="shared" ref="F3:F17" si="0">E3+61</f>
        <v>45802</v>
      </c>
      <c r="G3" s="166" t="s">
        <v>484</v>
      </c>
      <c r="H3" s="167">
        <v>44835</v>
      </c>
      <c r="I3" s="168">
        <v>45291</v>
      </c>
      <c r="J3" s="4"/>
      <c r="K3" s="169"/>
      <c r="L3" s="169"/>
      <c r="M3" s="169"/>
      <c r="N3" s="162"/>
      <c r="O3" s="162"/>
      <c r="P3" s="162"/>
      <c r="Q3" s="163"/>
      <c r="R3" s="163"/>
      <c r="S3" s="163"/>
      <c r="T3" s="164"/>
      <c r="U3" s="164"/>
      <c r="V3" s="164"/>
    </row>
    <row r="4" spans="1:22" s="165" customFormat="1">
      <c r="A4" s="18" t="s">
        <v>10</v>
      </c>
      <c r="B4" s="362" t="s">
        <v>207</v>
      </c>
      <c r="C4" s="13" t="s">
        <v>137</v>
      </c>
      <c r="D4" s="13" t="s">
        <v>221</v>
      </c>
      <c r="E4" s="158">
        <v>45762</v>
      </c>
      <c r="F4" s="158">
        <f t="shared" si="0"/>
        <v>45823</v>
      </c>
      <c r="G4" s="16" t="s">
        <v>353</v>
      </c>
      <c r="H4" s="8" t="s">
        <v>410</v>
      </c>
      <c r="I4" s="8" t="s">
        <v>411</v>
      </c>
      <c r="J4" s="4"/>
      <c r="K4" s="161"/>
      <c r="L4" s="162"/>
      <c r="M4" s="162"/>
      <c r="N4" s="162"/>
      <c r="O4" s="163"/>
      <c r="P4" s="163"/>
      <c r="Q4" s="163"/>
      <c r="R4" s="164"/>
      <c r="S4" s="164"/>
      <c r="T4" s="110" t="s">
        <v>335</v>
      </c>
      <c r="U4" s="161"/>
      <c r="V4" s="161"/>
    </row>
    <row r="5" spans="1:22" s="165" customFormat="1">
      <c r="A5" s="18" t="s">
        <v>10</v>
      </c>
      <c r="B5" s="362" t="s">
        <v>208</v>
      </c>
      <c r="C5" s="13" t="s">
        <v>137</v>
      </c>
      <c r="D5" s="13" t="s">
        <v>221</v>
      </c>
      <c r="E5" s="158">
        <v>45762</v>
      </c>
      <c r="F5" s="158">
        <f t="shared" si="0"/>
        <v>45823</v>
      </c>
      <c r="G5" s="16" t="s">
        <v>353</v>
      </c>
      <c r="H5" s="8" t="s">
        <v>410</v>
      </c>
      <c r="I5" s="8" t="s">
        <v>411</v>
      </c>
      <c r="J5" s="4"/>
      <c r="K5" s="161"/>
      <c r="L5" s="162"/>
      <c r="M5" s="162"/>
      <c r="N5" s="162"/>
      <c r="O5" s="163"/>
      <c r="P5" s="163"/>
      <c r="Q5" s="163"/>
      <c r="R5" s="164"/>
      <c r="S5" s="164"/>
      <c r="T5" s="110" t="s">
        <v>335</v>
      </c>
      <c r="U5" s="161"/>
      <c r="V5" s="161"/>
    </row>
    <row r="6" spans="1:22" s="165" customFormat="1">
      <c r="A6" s="18" t="s">
        <v>10</v>
      </c>
      <c r="B6" s="362" t="s">
        <v>209</v>
      </c>
      <c r="C6" s="13" t="s">
        <v>137</v>
      </c>
      <c r="D6" s="13" t="s">
        <v>221</v>
      </c>
      <c r="E6" s="158">
        <v>45762</v>
      </c>
      <c r="F6" s="158">
        <f t="shared" si="0"/>
        <v>45823</v>
      </c>
      <c r="G6" s="16" t="s">
        <v>353</v>
      </c>
      <c r="H6" s="8" t="s">
        <v>410</v>
      </c>
      <c r="I6" s="8" t="s">
        <v>411</v>
      </c>
      <c r="J6" s="4"/>
      <c r="K6" s="161"/>
      <c r="L6" s="162"/>
      <c r="M6" s="162"/>
      <c r="N6" s="162"/>
      <c r="O6" s="163"/>
      <c r="P6" s="163"/>
      <c r="Q6" s="163"/>
      <c r="R6" s="164"/>
      <c r="S6" s="164"/>
      <c r="T6" s="110" t="s">
        <v>335</v>
      </c>
      <c r="U6" s="161"/>
      <c r="V6" s="161"/>
    </row>
    <row r="7" spans="1:22" s="165" customFormat="1">
      <c r="A7" s="18" t="s">
        <v>10</v>
      </c>
      <c r="B7" s="362" t="s">
        <v>210</v>
      </c>
      <c r="C7" s="13" t="s">
        <v>137</v>
      </c>
      <c r="D7" s="13" t="s">
        <v>221</v>
      </c>
      <c r="E7" s="158">
        <v>45762</v>
      </c>
      <c r="F7" s="158">
        <f t="shared" si="0"/>
        <v>45823</v>
      </c>
      <c r="G7" s="16" t="s">
        <v>353</v>
      </c>
      <c r="H7" s="8" t="s">
        <v>410</v>
      </c>
      <c r="I7" s="8" t="s">
        <v>411</v>
      </c>
      <c r="J7" s="4"/>
      <c r="K7" s="161"/>
      <c r="L7" s="162"/>
      <c r="M7" s="162"/>
      <c r="N7" s="162"/>
      <c r="O7" s="163"/>
      <c r="P7" s="163"/>
      <c r="Q7" s="163"/>
      <c r="R7" s="164"/>
      <c r="S7" s="164"/>
      <c r="T7" s="110" t="s">
        <v>335</v>
      </c>
      <c r="U7" s="161"/>
      <c r="V7" s="161"/>
    </row>
    <row r="8" spans="1:22" s="165" customFormat="1">
      <c r="A8" s="18" t="s">
        <v>10</v>
      </c>
      <c r="B8" s="363" t="s">
        <v>211</v>
      </c>
      <c r="C8" s="13" t="s">
        <v>137</v>
      </c>
      <c r="D8" s="13" t="s">
        <v>221</v>
      </c>
      <c r="E8" s="158">
        <v>45762</v>
      </c>
      <c r="F8" s="158">
        <f t="shared" si="0"/>
        <v>45823</v>
      </c>
      <c r="G8" s="170" t="s">
        <v>412</v>
      </c>
      <c r="H8" s="171" t="s">
        <v>413</v>
      </c>
      <c r="I8" s="172" t="s">
        <v>414</v>
      </c>
      <c r="J8" s="4"/>
      <c r="K8" s="161"/>
      <c r="L8" s="162"/>
      <c r="M8" s="162"/>
      <c r="N8" s="162"/>
      <c r="O8" s="163"/>
      <c r="P8" s="163"/>
      <c r="Q8" s="163"/>
      <c r="R8" s="164"/>
      <c r="S8" s="164"/>
      <c r="T8" s="110" t="s">
        <v>335</v>
      </c>
      <c r="U8" s="161"/>
      <c r="V8" s="161"/>
    </row>
    <row r="9" spans="1:22" s="165" customFormat="1">
      <c r="A9" s="18" t="s">
        <v>10</v>
      </c>
      <c r="B9" s="363" t="s">
        <v>212</v>
      </c>
      <c r="C9" s="13" t="s">
        <v>137</v>
      </c>
      <c r="D9" s="13" t="s">
        <v>221</v>
      </c>
      <c r="E9" s="158">
        <v>45762</v>
      </c>
      <c r="F9" s="158">
        <f t="shared" si="0"/>
        <v>45823</v>
      </c>
      <c r="G9" s="16" t="s">
        <v>412</v>
      </c>
      <c r="H9" s="172" t="s">
        <v>413</v>
      </c>
      <c r="I9" s="172" t="s">
        <v>414</v>
      </c>
      <c r="J9" s="4"/>
      <c r="K9" s="161"/>
      <c r="L9" s="162"/>
      <c r="M9" s="162"/>
      <c r="N9" s="162"/>
      <c r="O9" s="163"/>
      <c r="P9" s="163"/>
      <c r="Q9" s="163"/>
      <c r="R9" s="164"/>
      <c r="S9" s="164"/>
      <c r="T9" s="110" t="s">
        <v>335</v>
      </c>
      <c r="U9" s="161"/>
      <c r="V9" s="161"/>
    </row>
    <row r="10" spans="1:22" s="165" customFormat="1">
      <c r="A10" s="18" t="s">
        <v>10</v>
      </c>
      <c r="B10" s="363" t="s">
        <v>213</v>
      </c>
      <c r="C10" s="13" t="s">
        <v>137</v>
      </c>
      <c r="D10" s="13" t="s">
        <v>221</v>
      </c>
      <c r="E10" s="158">
        <v>45762</v>
      </c>
      <c r="F10" s="158">
        <f t="shared" si="0"/>
        <v>45823</v>
      </c>
      <c r="G10" s="16" t="s">
        <v>412</v>
      </c>
      <c r="H10" s="172" t="s">
        <v>413</v>
      </c>
      <c r="I10" s="172" t="s">
        <v>414</v>
      </c>
      <c r="J10" s="4"/>
      <c r="K10" s="161"/>
      <c r="L10" s="162"/>
      <c r="M10" s="162"/>
      <c r="N10" s="162"/>
      <c r="O10" s="163"/>
      <c r="P10" s="163"/>
      <c r="Q10" s="163"/>
      <c r="R10" s="164"/>
      <c r="S10" s="164"/>
      <c r="T10" s="110" t="s">
        <v>335</v>
      </c>
      <c r="U10" s="161"/>
      <c r="V10" s="161"/>
    </row>
    <row r="11" spans="1:22" s="165" customFormat="1">
      <c r="A11" s="18" t="s">
        <v>10</v>
      </c>
      <c r="B11" s="362" t="s">
        <v>214</v>
      </c>
      <c r="C11" s="13" t="s">
        <v>137</v>
      </c>
      <c r="D11" s="13" t="s">
        <v>221</v>
      </c>
      <c r="E11" s="158">
        <v>45762</v>
      </c>
      <c r="F11" s="158">
        <f t="shared" si="0"/>
        <v>45823</v>
      </c>
      <c r="G11" s="16" t="s">
        <v>412</v>
      </c>
      <c r="H11" s="172" t="s">
        <v>413</v>
      </c>
      <c r="I11" s="172" t="s">
        <v>414</v>
      </c>
      <c r="J11" s="4"/>
      <c r="K11" s="161"/>
      <c r="L11" s="162"/>
      <c r="M11" s="162"/>
      <c r="N11" s="162"/>
      <c r="O11" s="163"/>
      <c r="P11" s="163"/>
      <c r="Q11" s="163"/>
      <c r="R11" s="164"/>
      <c r="S11" s="164"/>
      <c r="T11" s="110" t="s">
        <v>335</v>
      </c>
      <c r="U11" s="161"/>
      <c r="V11" s="161"/>
    </row>
    <row r="12" spans="1:22" s="165" customFormat="1">
      <c r="A12" s="18" t="s">
        <v>10</v>
      </c>
      <c r="B12" s="364" t="s">
        <v>215</v>
      </c>
      <c r="C12" s="13" t="s">
        <v>137</v>
      </c>
      <c r="D12" s="13" t="s">
        <v>221</v>
      </c>
      <c r="E12" s="158">
        <v>45762</v>
      </c>
      <c r="F12" s="158">
        <f t="shared" si="0"/>
        <v>45823</v>
      </c>
      <c r="G12" s="16" t="s">
        <v>412</v>
      </c>
      <c r="H12" s="172" t="s">
        <v>413</v>
      </c>
      <c r="I12" s="172" t="s">
        <v>414</v>
      </c>
      <c r="J12" s="4"/>
      <c r="K12" s="161"/>
      <c r="L12" s="162"/>
      <c r="M12" s="162"/>
      <c r="N12" s="162"/>
      <c r="O12" s="163"/>
      <c r="P12" s="163"/>
      <c r="Q12" s="163"/>
      <c r="R12" s="164"/>
      <c r="S12" s="164"/>
      <c r="T12" s="110" t="s">
        <v>335</v>
      </c>
      <c r="U12" s="161"/>
      <c r="V12" s="161"/>
    </row>
    <row r="13" spans="1:22" s="165" customFormat="1">
      <c r="A13" s="18" t="s">
        <v>10</v>
      </c>
      <c r="B13" s="363" t="s">
        <v>216</v>
      </c>
      <c r="C13" s="13" t="s">
        <v>137</v>
      </c>
      <c r="D13" s="13" t="s">
        <v>221</v>
      </c>
      <c r="E13" s="158">
        <v>45762</v>
      </c>
      <c r="F13" s="158">
        <f t="shared" si="0"/>
        <v>45823</v>
      </c>
      <c r="G13" s="16" t="s">
        <v>412</v>
      </c>
      <c r="H13" s="172" t="s">
        <v>413</v>
      </c>
      <c r="I13" s="172" t="s">
        <v>414</v>
      </c>
      <c r="J13" s="4"/>
      <c r="K13" s="161"/>
      <c r="L13" s="162"/>
      <c r="M13" s="162"/>
      <c r="N13" s="162"/>
      <c r="O13" s="163"/>
      <c r="P13" s="163"/>
      <c r="Q13" s="163"/>
      <c r="R13" s="164"/>
      <c r="S13" s="164"/>
      <c r="T13" s="110" t="s">
        <v>335</v>
      </c>
      <c r="U13" s="161"/>
      <c r="V13" s="161"/>
    </row>
    <row r="14" spans="1:22" s="165" customFormat="1">
      <c r="A14" s="18" t="s">
        <v>10</v>
      </c>
      <c r="B14" s="363" t="s">
        <v>217</v>
      </c>
      <c r="C14" s="13" t="s">
        <v>137</v>
      </c>
      <c r="D14" s="13" t="s">
        <v>221</v>
      </c>
      <c r="E14" s="158">
        <v>45762</v>
      </c>
      <c r="F14" s="158">
        <f t="shared" si="0"/>
        <v>45823</v>
      </c>
      <c r="G14" s="16" t="s">
        <v>412</v>
      </c>
      <c r="H14" s="172" t="s">
        <v>413</v>
      </c>
      <c r="I14" s="172" t="s">
        <v>414</v>
      </c>
      <c r="J14" s="4"/>
      <c r="K14" s="161"/>
      <c r="L14" s="162"/>
      <c r="M14" s="162"/>
      <c r="N14" s="162"/>
      <c r="O14" s="163"/>
      <c r="P14" s="163"/>
      <c r="Q14" s="163"/>
      <c r="R14" s="164"/>
      <c r="S14" s="164"/>
      <c r="T14" s="110" t="s">
        <v>335</v>
      </c>
      <c r="U14" s="161"/>
      <c r="V14" s="161"/>
    </row>
    <row r="15" spans="1:22" s="165" customFormat="1">
      <c r="A15" s="18" t="s">
        <v>10</v>
      </c>
      <c r="B15" s="362" t="s">
        <v>218</v>
      </c>
      <c r="C15" s="13" t="s">
        <v>137</v>
      </c>
      <c r="D15" s="13" t="s">
        <v>221</v>
      </c>
      <c r="E15" s="158">
        <v>45762</v>
      </c>
      <c r="F15" s="158">
        <f t="shared" si="0"/>
        <v>45823</v>
      </c>
      <c r="G15" s="16" t="s">
        <v>412</v>
      </c>
      <c r="H15" s="172" t="s">
        <v>413</v>
      </c>
      <c r="I15" s="172" t="s">
        <v>414</v>
      </c>
      <c r="J15" s="4"/>
      <c r="K15" s="161"/>
      <c r="L15" s="162"/>
      <c r="M15" s="162"/>
      <c r="N15" s="162"/>
      <c r="O15" s="163"/>
      <c r="P15" s="163"/>
      <c r="Q15" s="163"/>
      <c r="R15" s="164"/>
      <c r="S15" s="164"/>
      <c r="T15" s="110" t="s">
        <v>335</v>
      </c>
      <c r="U15" s="161"/>
      <c r="V15" s="161"/>
    </row>
    <row r="16" spans="1:22" s="165" customFormat="1">
      <c r="A16" s="18" t="s">
        <v>10</v>
      </c>
      <c r="B16" s="362" t="s">
        <v>219</v>
      </c>
      <c r="C16" s="13" t="s">
        <v>137</v>
      </c>
      <c r="D16" s="13" t="s">
        <v>221</v>
      </c>
      <c r="E16" s="158">
        <v>45762</v>
      </c>
      <c r="F16" s="158">
        <f t="shared" si="0"/>
        <v>45823</v>
      </c>
      <c r="G16" s="16" t="s">
        <v>412</v>
      </c>
      <c r="H16" s="173" t="s">
        <v>413</v>
      </c>
      <c r="I16" s="172" t="s">
        <v>414</v>
      </c>
      <c r="J16" s="4"/>
      <c r="K16" s="161"/>
      <c r="L16" s="162"/>
      <c r="M16" s="162"/>
      <c r="N16" s="162"/>
      <c r="O16" s="163"/>
      <c r="P16" s="163"/>
      <c r="Q16" s="163"/>
      <c r="R16" s="164"/>
      <c r="S16" s="164"/>
      <c r="T16" s="110" t="s">
        <v>335</v>
      </c>
      <c r="U16" s="161"/>
      <c r="V16" s="161"/>
    </row>
    <row r="17" spans="1:22" s="165" customFormat="1" ht="108.5">
      <c r="A17" s="18" t="s">
        <v>10</v>
      </c>
      <c r="B17" s="3" t="s">
        <v>220</v>
      </c>
      <c r="C17" s="13" t="s">
        <v>137</v>
      </c>
      <c r="D17" s="13" t="s">
        <v>221</v>
      </c>
      <c r="E17" s="158">
        <v>45502</v>
      </c>
      <c r="F17" s="158">
        <f t="shared" si="0"/>
        <v>45563</v>
      </c>
      <c r="G17" s="16" t="s">
        <v>516</v>
      </c>
      <c r="H17" s="174">
        <v>43405</v>
      </c>
      <c r="I17" s="174">
        <v>45230</v>
      </c>
      <c r="J17" s="131" t="s">
        <v>480</v>
      </c>
      <c r="K17" s="161"/>
      <c r="L17" s="162"/>
      <c r="M17" s="162"/>
      <c r="N17" s="162"/>
      <c r="O17" s="163"/>
      <c r="P17" s="163"/>
      <c r="Q17" s="163"/>
      <c r="R17" s="164"/>
      <c r="S17" s="164"/>
      <c r="T17" s="110" t="s">
        <v>335</v>
      </c>
      <c r="U17" s="161"/>
      <c r="V17" s="161"/>
    </row>
    <row r="18" spans="1:22" s="165" customFormat="1">
      <c r="A18" s="434" t="s">
        <v>24</v>
      </c>
      <c r="B18" s="371" t="s">
        <v>223</v>
      </c>
      <c r="C18" s="437" t="s">
        <v>137</v>
      </c>
      <c r="D18" s="437" t="s">
        <v>221</v>
      </c>
      <c r="E18" s="440" t="s">
        <v>415</v>
      </c>
      <c r="F18" s="443"/>
      <c r="G18" s="3" t="s">
        <v>355</v>
      </c>
      <c r="H18" s="175" t="s">
        <v>416</v>
      </c>
      <c r="I18" s="175" t="s">
        <v>417</v>
      </c>
      <c r="J18" s="4"/>
      <c r="K18" s="176"/>
      <c r="L18" s="176"/>
      <c r="M18" s="176"/>
      <c r="N18" s="177"/>
      <c r="O18" s="177"/>
      <c r="P18" s="177"/>
      <c r="Q18" s="178"/>
      <c r="R18" s="178"/>
      <c r="S18" s="178"/>
      <c r="T18" s="179"/>
      <c r="U18" s="179"/>
      <c r="V18" s="179"/>
    </row>
    <row r="19" spans="1:22" s="165" customFormat="1">
      <c r="A19" s="435"/>
      <c r="B19" s="372"/>
      <c r="C19" s="438"/>
      <c r="D19" s="438"/>
      <c r="E19" s="441"/>
      <c r="F19" s="444"/>
      <c r="G19" s="180" t="s">
        <v>418</v>
      </c>
      <c r="H19" s="175" t="s">
        <v>419</v>
      </c>
      <c r="I19" s="175" t="s">
        <v>420</v>
      </c>
      <c r="J19" s="4"/>
      <c r="K19" s="178"/>
      <c r="L19" s="178"/>
      <c r="M19" s="179"/>
      <c r="N19" s="179"/>
      <c r="O19" s="179"/>
      <c r="P19" s="176"/>
      <c r="Q19" s="176"/>
      <c r="R19" s="176"/>
      <c r="S19" s="177"/>
      <c r="T19" s="177"/>
      <c r="U19" s="177"/>
      <c r="V19" s="178"/>
    </row>
    <row r="20" spans="1:22" s="165" customFormat="1">
      <c r="A20" s="436"/>
      <c r="B20" s="373"/>
      <c r="C20" s="439"/>
      <c r="D20" s="439"/>
      <c r="E20" s="442"/>
      <c r="F20" s="445"/>
      <c r="G20" s="180" t="s">
        <v>421</v>
      </c>
      <c r="H20" s="175">
        <v>44800</v>
      </c>
      <c r="I20" s="175">
        <v>45161</v>
      </c>
      <c r="J20" s="4"/>
      <c r="K20" s="178"/>
      <c r="L20" s="178"/>
      <c r="M20" s="179"/>
      <c r="N20" s="179"/>
      <c r="O20" s="179"/>
      <c r="P20" s="176"/>
      <c r="Q20" s="176"/>
      <c r="R20" s="176"/>
      <c r="S20" s="177"/>
      <c r="T20" s="177"/>
      <c r="U20" s="177"/>
      <c r="V20" s="178"/>
    </row>
    <row r="21" spans="1:22" s="165" customFormat="1">
      <c r="A21" s="434" t="s">
        <v>24</v>
      </c>
      <c r="B21" s="371" t="s">
        <v>224</v>
      </c>
      <c r="C21" s="437" t="s">
        <v>137</v>
      </c>
      <c r="D21" s="437" t="s">
        <v>221</v>
      </c>
      <c r="E21" s="440" t="s">
        <v>415</v>
      </c>
      <c r="F21" s="440"/>
      <c r="G21" s="3" t="s">
        <v>355</v>
      </c>
      <c r="H21" s="175" t="s">
        <v>416</v>
      </c>
      <c r="I21" s="175" t="s">
        <v>417</v>
      </c>
      <c r="J21" s="4"/>
      <c r="K21" s="176"/>
      <c r="L21" s="176"/>
      <c r="M21" s="176"/>
      <c r="N21" s="177"/>
      <c r="O21" s="177"/>
      <c r="P21" s="177"/>
      <c r="Q21" s="178"/>
      <c r="R21" s="178"/>
      <c r="S21" s="178"/>
      <c r="T21" s="179"/>
      <c r="U21" s="179"/>
      <c r="V21" s="179"/>
    </row>
    <row r="22" spans="1:22" s="165" customFormat="1">
      <c r="A22" s="435"/>
      <c r="B22" s="372"/>
      <c r="C22" s="438"/>
      <c r="D22" s="438"/>
      <c r="E22" s="441"/>
      <c r="F22" s="441"/>
      <c r="G22" s="180" t="s">
        <v>418</v>
      </c>
      <c r="H22" s="175" t="s">
        <v>419</v>
      </c>
      <c r="I22" s="175" t="s">
        <v>420</v>
      </c>
      <c r="J22" s="4"/>
      <c r="K22" s="178"/>
      <c r="L22" s="178"/>
      <c r="M22" s="179"/>
      <c r="N22" s="179"/>
      <c r="O22" s="179"/>
      <c r="P22" s="176"/>
      <c r="Q22" s="176"/>
      <c r="R22" s="176"/>
      <c r="S22" s="177"/>
      <c r="T22" s="177"/>
      <c r="U22" s="177"/>
      <c r="V22" s="178"/>
    </row>
    <row r="23" spans="1:22" s="165" customFormat="1">
      <c r="A23" s="436"/>
      <c r="B23" s="373"/>
      <c r="C23" s="439"/>
      <c r="D23" s="439"/>
      <c r="E23" s="442"/>
      <c r="F23" s="442"/>
      <c r="G23" s="180" t="s">
        <v>421</v>
      </c>
      <c r="H23" s="175">
        <v>44800</v>
      </c>
      <c r="I23" s="175">
        <v>45161</v>
      </c>
      <c r="J23" s="4"/>
      <c r="K23" s="178"/>
      <c r="L23" s="178"/>
      <c r="M23" s="179"/>
      <c r="N23" s="179"/>
      <c r="O23" s="179"/>
      <c r="P23" s="176"/>
      <c r="Q23" s="176"/>
      <c r="R23" s="176"/>
      <c r="S23" s="177"/>
      <c r="T23" s="177"/>
      <c r="U23" s="177"/>
      <c r="V23" s="178"/>
    </row>
    <row r="24" spans="1:22" s="165" customFormat="1">
      <c r="A24" s="434" t="s">
        <v>24</v>
      </c>
      <c r="B24" s="371" t="s">
        <v>207</v>
      </c>
      <c r="C24" s="437" t="s">
        <v>137</v>
      </c>
      <c r="D24" s="437" t="s">
        <v>221</v>
      </c>
      <c r="E24" s="440" t="s">
        <v>415</v>
      </c>
      <c r="F24" s="443"/>
      <c r="G24" s="3" t="s">
        <v>355</v>
      </c>
      <c r="H24" s="175" t="s">
        <v>416</v>
      </c>
      <c r="I24" s="175" t="s">
        <v>417</v>
      </c>
      <c r="J24" s="4"/>
      <c r="K24" s="176"/>
      <c r="L24" s="176"/>
      <c r="M24" s="176"/>
      <c r="N24" s="177"/>
      <c r="O24" s="177"/>
      <c r="P24" s="177"/>
      <c r="Q24" s="178"/>
      <c r="R24" s="178"/>
      <c r="S24" s="178"/>
      <c r="T24" s="179"/>
      <c r="U24" s="179"/>
      <c r="V24" s="179"/>
    </row>
    <row r="25" spans="1:22" s="165" customFormat="1">
      <c r="A25" s="435"/>
      <c r="B25" s="372"/>
      <c r="C25" s="438"/>
      <c r="D25" s="438"/>
      <c r="E25" s="441"/>
      <c r="F25" s="444"/>
      <c r="G25" s="180" t="s">
        <v>418</v>
      </c>
      <c r="H25" s="175" t="s">
        <v>419</v>
      </c>
      <c r="I25" s="175" t="s">
        <v>420</v>
      </c>
      <c r="J25" s="4"/>
      <c r="K25" s="178"/>
      <c r="L25" s="178"/>
      <c r="M25" s="179"/>
      <c r="N25" s="179"/>
      <c r="O25" s="179"/>
      <c r="P25" s="176"/>
      <c r="Q25" s="176"/>
      <c r="R25" s="176"/>
      <c r="S25" s="177"/>
      <c r="T25" s="177"/>
      <c r="U25" s="177"/>
      <c r="V25" s="178"/>
    </row>
    <row r="26" spans="1:22" s="165" customFormat="1">
      <c r="A26" s="436"/>
      <c r="B26" s="373"/>
      <c r="C26" s="439"/>
      <c r="D26" s="439"/>
      <c r="E26" s="442"/>
      <c r="F26" s="445"/>
      <c r="G26" s="180" t="s">
        <v>421</v>
      </c>
      <c r="H26" s="175">
        <v>44800</v>
      </c>
      <c r="I26" s="175">
        <v>45161</v>
      </c>
      <c r="J26" s="4"/>
      <c r="K26" s="178"/>
      <c r="L26" s="178"/>
      <c r="M26" s="179"/>
      <c r="N26" s="179"/>
      <c r="O26" s="179"/>
      <c r="P26" s="176"/>
      <c r="Q26" s="176"/>
      <c r="R26" s="176"/>
      <c r="S26" s="177"/>
      <c r="T26" s="177"/>
      <c r="U26" s="177"/>
      <c r="V26" s="178"/>
    </row>
    <row r="27" spans="1:22" s="165" customFormat="1">
      <c r="A27" s="434" t="s">
        <v>24</v>
      </c>
      <c r="B27" s="371" t="s">
        <v>225</v>
      </c>
      <c r="C27" s="371" t="s">
        <v>137</v>
      </c>
      <c r="D27" s="371" t="s">
        <v>221</v>
      </c>
      <c r="E27" s="440" t="s">
        <v>415</v>
      </c>
      <c r="F27" s="440"/>
      <c r="G27" s="3" t="s">
        <v>355</v>
      </c>
      <c r="H27" s="175" t="s">
        <v>416</v>
      </c>
      <c r="I27" s="175" t="s">
        <v>417</v>
      </c>
      <c r="J27" s="4"/>
      <c r="K27" s="176"/>
      <c r="L27" s="176"/>
      <c r="M27" s="176"/>
      <c r="N27" s="177"/>
      <c r="O27" s="177"/>
      <c r="P27" s="177"/>
      <c r="Q27" s="178"/>
      <c r="R27" s="178"/>
      <c r="S27" s="178"/>
      <c r="T27" s="179"/>
      <c r="U27" s="179"/>
      <c r="V27" s="179"/>
    </row>
    <row r="28" spans="1:22" s="165" customFormat="1">
      <c r="A28" s="435"/>
      <c r="B28" s="372"/>
      <c r="C28" s="372"/>
      <c r="D28" s="372"/>
      <c r="E28" s="441"/>
      <c r="F28" s="441"/>
      <c r="G28" s="180" t="s">
        <v>418</v>
      </c>
      <c r="H28" s="175" t="s">
        <v>419</v>
      </c>
      <c r="I28" s="175" t="s">
        <v>420</v>
      </c>
      <c r="J28" s="4"/>
      <c r="K28" s="178"/>
      <c r="L28" s="178"/>
      <c r="M28" s="179"/>
      <c r="N28" s="179"/>
      <c r="O28" s="179"/>
      <c r="P28" s="176"/>
      <c r="Q28" s="176"/>
      <c r="R28" s="176"/>
      <c r="S28" s="177"/>
      <c r="T28" s="177"/>
      <c r="U28" s="177"/>
      <c r="V28" s="178"/>
    </row>
    <row r="29" spans="1:22" s="165" customFormat="1">
      <c r="A29" s="436"/>
      <c r="B29" s="373" t="s">
        <v>225</v>
      </c>
      <c r="C29" s="373" t="s">
        <v>137</v>
      </c>
      <c r="D29" s="373" t="s">
        <v>221</v>
      </c>
      <c r="E29" s="442"/>
      <c r="F29" s="442"/>
      <c r="G29" s="180" t="s">
        <v>421</v>
      </c>
      <c r="H29" s="175">
        <v>44800</v>
      </c>
      <c r="I29" s="175">
        <v>45161</v>
      </c>
      <c r="J29" s="4"/>
      <c r="K29" s="178"/>
      <c r="L29" s="178"/>
      <c r="M29" s="179"/>
      <c r="N29" s="179"/>
      <c r="O29" s="179"/>
      <c r="P29" s="176"/>
      <c r="Q29" s="176"/>
      <c r="R29" s="176"/>
      <c r="S29" s="177"/>
      <c r="T29" s="177"/>
      <c r="U29" s="177"/>
      <c r="V29" s="178"/>
    </row>
    <row r="30" spans="1:22" s="165" customFormat="1">
      <c r="A30" s="434" t="s">
        <v>422</v>
      </c>
      <c r="B30" s="371" t="s">
        <v>423</v>
      </c>
      <c r="C30" s="371" t="s">
        <v>424</v>
      </c>
      <c r="D30" s="371" t="s">
        <v>425</v>
      </c>
      <c r="E30" s="440" t="s">
        <v>426</v>
      </c>
      <c r="F30" s="440"/>
      <c r="G30" s="3" t="s">
        <v>355</v>
      </c>
      <c r="H30" s="175" t="s">
        <v>416</v>
      </c>
      <c r="I30" s="175" t="s">
        <v>417</v>
      </c>
      <c r="J30" s="4"/>
      <c r="K30" s="176"/>
      <c r="L30" s="176"/>
      <c r="M30" s="176"/>
      <c r="N30" s="177"/>
      <c r="O30" s="177"/>
      <c r="P30" s="177"/>
      <c r="Q30" s="178"/>
      <c r="R30" s="178"/>
      <c r="S30" s="178"/>
      <c r="T30" s="179"/>
      <c r="U30" s="179"/>
      <c r="V30" s="179"/>
    </row>
    <row r="31" spans="1:22" s="165" customFormat="1">
      <c r="A31" s="435"/>
      <c r="B31" s="372"/>
      <c r="C31" s="372"/>
      <c r="D31" s="372"/>
      <c r="E31" s="441"/>
      <c r="F31" s="441"/>
      <c r="G31" s="180" t="s">
        <v>421</v>
      </c>
      <c r="H31" s="175">
        <v>44800</v>
      </c>
      <c r="I31" s="175">
        <v>45161</v>
      </c>
      <c r="J31" s="4"/>
      <c r="K31" s="178"/>
      <c r="L31" s="178"/>
      <c r="M31" s="179"/>
      <c r="N31" s="179"/>
      <c r="O31" s="179"/>
      <c r="P31" s="176"/>
      <c r="Q31" s="176"/>
      <c r="R31" s="176"/>
      <c r="S31" s="177"/>
      <c r="T31" s="177"/>
      <c r="U31" s="177"/>
      <c r="V31" s="178"/>
    </row>
    <row r="32" spans="1:22" s="165" customFormat="1">
      <c r="A32" s="436"/>
      <c r="B32" s="373"/>
      <c r="C32" s="373"/>
      <c r="D32" s="373"/>
      <c r="E32" s="442"/>
      <c r="F32" s="442"/>
      <c r="G32" s="180" t="s">
        <v>418</v>
      </c>
      <c r="H32" s="175" t="s">
        <v>419</v>
      </c>
      <c r="I32" s="175" t="s">
        <v>420</v>
      </c>
      <c r="J32" s="4"/>
      <c r="K32" s="178"/>
      <c r="L32" s="178"/>
      <c r="M32" s="179"/>
      <c r="N32" s="179"/>
      <c r="O32" s="179"/>
      <c r="P32" s="176"/>
      <c r="Q32" s="176"/>
      <c r="R32" s="176"/>
      <c r="S32" s="177"/>
      <c r="T32" s="177"/>
      <c r="U32" s="177"/>
      <c r="V32" s="178"/>
    </row>
    <row r="33" spans="1:23" s="165" customFormat="1">
      <c r="A33" s="446" t="s">
        <v>37</v>
      </c>
      <c r="B33" s="446" t="s">
        <v>223</v>
      </c>
      <c r="C33" s="446" t="s">
        <v>137</v>
      </c>
      <c r="D33" s="446" t="s">
        <v>221</v>
      </c>
      <c r="E33" s="181"/>
      <c r="F33" s="181"/>
      <c r="G33" s="182" t="s">
        <v>159</v>
      </c>
      <c r="H33" s="183">
        <v>44314</v>
      </c>
      <c r="I33" s="183">
        <v>44403</v>
      </c>
      <c r="J33" s="184" t="s">
        <v>427</v>
      </c>
      <c r="K33" s="185"/>
      <c r="L33" s="185"/>
      <c r="M33" s="185"/>
      <c r="N33" s="185"/>
      <c r="O33" s="185"/>
      <c r="P33" s="185"/>
      <c r="Q33" s="185"/>
      <c r="R33" s="185"/>
      <c r="S33" s="185"/>
      <c r="T33" s="185"/>
      <c r="U33" s="185"/>
      <c r="V33" s="185"/>
    </row>
    <row r="34" spans="1:23" s="165" customFormat="1">
      <c r="A34" s="447"/>
      <c r="B34" s="447" t="s">
        <v>223</v>
      </c>
      <c r="C34" s="447" t="s">
        <v>137</v>
      </c>
      <c r="D34" s="447" t="s">
        <v>221</v>
      </c>
      <c r="E34" s="181"/>
      <c r="F34" s="181"/>
      <c r="G34" s="182" t="s">
        <v>157</v>
      </c>
      <c r="H34" s="183">
        <v>44314</v>
      </c>
      <c r="I34" s="183">
        <v>44403</v>
      </c>
      <c r="J34" s="184"/>
      <c r="K34" s="185"/>
      <c r="L34" s="185">
        <v>3</v>
      </c>
      <c r="M34" s="185"/>
      <c r="N34" s="185"/>
      <c r="O34" s="185">
        <v>3</v>
      </c>
      <c r="P34" s="185"/>
      <c r="Q34" s="185"/>
      <c r="R34" s="185">
        <v>3</v>
      </c>
      <c r="S34" s="185"/>
      <c r="T34" s="185"/>
      <c r="U34" s="185">
        <v>3</v>
      </c>
      <c r="V34" s="185"/>
    </row>
    <row r="35" spans="1:23" s="165" customFormat="1">
      <c r="A35" s="447"/>
      <c r="B35" s="447" t="s">
        <v>223</v>
      </c>
      <c r="C35" s="447" t="s">
        <v>137</v>
      </c>
      <c r="D35" s="447" t="s">
        <v>221</v>
      </c>
      <c r="E35" s="181"/>
      <c r="F35" s="181"/>
      <c r="G35" s="182" t="s">
        <v>158</v>
      </c>
      <c r="H35" s="183">
        <v>44314</v>
      </c>
      <c r="I35" s="183">
        <v>44403</v>
      </c>
      <c r="J35" s="184"/>
      <c r="K35" s="185"/>
      <c r="L35" s="185"/>
      <c r="M35" s="185"/>
      <c r="N35" s="185"/>
      <c r="O35" s="185"/>
      <c r="P35" s="185"/>
      <c r="Q35" s="185"/>
      <c r="R35" s="185"/>
      <c r="S35" s="185"/>
      <c r="T35" s="185"/>
      <c r="U35" s="185"/>
      <c r="V35" s="185"/>
    </row>
    <row r="36" spans="1:23" s="165" customFormat="1">
      <c r="A36" s="448"/>
      <c r="B36" s="448" t="s">
        <v>223</v>
      </c>
      <c r="C36" s="448" t="s">
        <v>137</v>
      </c>
      <c r="D36" s="448" t="s">
        <v>221</v>
      </c>
      <c r="E36" s="181"/>
      <c r="F36" s="181"/>
      <c r="G36" s="182" t="s">
        <v>135</v>
      </c>
      <c r="H36" s="183">
        <v>44314</v>
      </c>
      <c r="I36" s="183">
        <v>44403</v>
      </c>
      <c r="J36" s="184"/>
      <c r="K36" s="185"/>
      <c r="L36" s="185">
        <v>28</v>
      </c>
      <c r="M36" s="185"/>
      <c r="N36" s="185"/>
      <c r="O36" s="185">
        <v>29</v>
      </c>
      <c r="P36" s="185"/>
      <c r="Q36" s="185"/>
      <c r="R36" s="185">
        <v>29</v>
      </c>
      <c r="S36" s="185"/>
      <c r="T36" s="185"/>
      <c r="U36" s="185">
        <v>29</v>
      </c>
      <c r="V36" s="185"/>
    </row>
    <row r="37" spans="1:23" s="165" customFormat="1">
      <c r="A37" s="388" t="s">
        <v>37</v>
      </c>
      <c r="B37" s="371" t="s">
        <v>207</v>
      </c>
      <c r="C37" s="371" t="s">
        <v>137</v>
      </c>
      <c r="D37" s="371" t="s">
        <v>221</v>
      </c>
      <c r="E37" s="449" t="s">
        <v>428</v>
      </c>
      <c r="F37" s="187"/>
      <c r="G37" s="3" t="s">
        <v>159</v>
      </c>
      <c r="H37" s="11">
        <v>44314</v>
      </c>
      <c r="I37" s="11">
        <v>44404</v>
      </c>
      <c r="J37" s="4" t="s">
        <v>429</v>
      </c>
      <c r="K37" s="188"/>
      <c r="L37" s="188"/>
      <c r="M37" s="164"/>
      <c r="N37" s="164"/>
      <c r="O37" s="164"/>
      <c r="P37" s="189"/>
      <c r="Q37" s="189"/>
      <c r="R37" s="189"/>
      <c r="S37" s="190"/>
      <c r="T37" s="190"/>
      <c r="U37" s="190"/>
      <c r="V37" s="188"/>
    </row>
    <row r="38" spans="1:23" s="165" customFormat="1" ht="18">
      <c r="A38" s="389"/>
      <c r="B38" s="372" t="s">
        <v>207</v>
      </c>
      <c r="C38" s="372" t="s">
        <v>137</v>
      </c>
      <c r="D38" s="372" t="s">
        <v>221</v>
      </c>
      <c r="E38" s="449"/>
      <c r="F38" s="187"/>
      <c r="G38" s="3" t="s">
        <v>157</v>
      </c>
      <c r="H38" s="11">
        <v>44314</v>
      </c>
      <c r="I38" s="11">
        <v>44404</v>
      </c>
      <c r="J38" s="191"/>
      <c r="K38" s="188"/>
      <c r="L38" s="188">
        <v>3</v>
      </c>
      <c r="M38" s="164"/>
      <c r="N38" s="164"/>
      <c r="O38" s="164">
        <v>3</v>
      </c>
      <c r="P38" s="189"/>
      <c r="Q38" s="189"/>
      <c r="R38" s="189">
        <v>3</v>
      </c>
      <c r="S38" s="190"/>
      <c r="T38" s="190"/>
      <c r="U38" s="190">
        <v>3</v>
      </c>
      <c r="V38" s="188"/>
    </row>
    <row r="39" spans="1:23" s="165" customFormat="1" ht="18">
      <c r="A39" s="390"/>
      <c r="B39" s="373" t="s">
        <v>207</v>
      </c>
      <c r="C39" s="373" t="s">
        <v>137</v>
      </c>
      <c r="D39" s="373" t="s">
        <v>221</v>
      </c>
      <c r="E39" s="449"/>
      <c r="F39" s="187"/>
      <c r="G39" s="3" t="s">
        <v>158</v>
      </c>
      <c r="H39" s="11">
        <v>44314</v>
      </c>
      <c r="I39" s="11">
        <v>44404</v>
      </c>
      <c r="J39" s="191"/>
      <c r="K39" s="188"/>
      <c r="L39" s="188"/>
      <c r="M39" s="164"/>
      <c r="N39" s="164"/>
      <c r="O39" s="164"/>
      <c r="P39" s="189"/>
      <c r="Q39" s="189"/>
      <c r="R39" s="189"/>
      <c r="S39" s="190"/>
      <c r="T39" s="190"/>
      <c r="U39" s="190"/>
      <c r="V39" s="188"/>
    </row>
    <row r="40" spans="1:23" s="165" customFormat="1" ht="18">
      <c r="A40" s="388" t="s">
        <v>37</v>
      </c>
      <c r="B40" s="371" t="s">
        <v>226</v>
      </c>
      <c r="C40" s="371" t="s">
        <v>137</v>
      </c>
      <c r="D40" s="371" t="s">
        <v>221</v>
      </c>
      <c r="E40" s="443" t="s">
        <v>430</v>
      </c>
      <c r="F40" s="443"/>
      <c r="G40" s="3" t="s">
        <v>157</v>
      </c>
      <c r="H40" s="11">
        <v>44315</v>
      </c>
      <c r="I40" s="11">
        <v>44405</v>
      </c>
      <c r="J40" s="191" t="s">
        <v>431</v>
      </c>
      <c r="K40" s="188"/>
      <c r="L40" s="188">
        <v>3</v>
      </c>
      <c r="M40" s="164"/>
      <c r="N40" s="164"/>
      <c r="O40" s="164">
        <v>3</v>
      </c>
      <c r="P40" s="189"/>
      <c r="Q40" s="189"/>
      <c r="R40" s="189">
        <v>3</v>
      </c>
      <c r="S40" s="190"/>
      <c r="T40" s="190"/>
      <c r="U40" s="190">
        <v>3</v>
      </c>
      <c r="V40" s="188"/>
    </row>
    <row r="41" spans="1:23" s="165" customFormat="1" ht="18">
      <c r="A41" s="389"/>
      <c r="B41" s="372" t="s">
        <v>226</v>
      </c>
      <c r="C41" s="372" t="s">
        <v>137</v>
      </c>
      <c r="D41" s="372" t="s">
        <v>221</v>
      </c>
      <c r="E41" s="444"/>
      <c r="F41" s="444"/>
      <c r="G41" s="3" t="s">
        <v>158</v>
      </c>
      <c r="H41" s="11">
        <v>44315</v>
      </c>
      <c r="I41" s="11">
        <v>44405</v>
      </c>
      <c r="J41" s="191" t="s">
        <v>431</v>
      </c>
      <c r="K41" s="188"/>
      <c r="L41" s="188"/>
      <c r="M41" s="164"/>
      <c r="N41" s="164"/>
      <c r="O41" s="164"/>
      <c r="P41" s="189"/>
      <c r="Q41" s="189"/>
      <c r="R41" s="189"/>
      <c r="S41" s="190"/>
      <c r="T41" s="190"/>
      <c r="U41" s="190"/>
      <c r="V41" s="188"/>
    </row>
    <row r="42" spans="1:23" s="165" customFormat="1" ht="18">
      <c r="A42" s="389"/>
      <c r="B42" s="372" t="s">
        <v>226</v>
      </c>
      <c r="C42" s="372" t="s">
        <v>137</v>
      </c>
      <c r="D42" s="372" t="s">
        <v>221</v>
      </c>
      <c r="E42" s="444"/>
      <c r="F42" s="444"/>
      <c r="G42" s="3" t="s">
        <v>135</v>
      </c>
      <c r="H42" s="11">
        <v>44315</v>
      </c>
      <c r="I42" s="11">
        <v>44405</v>
      </c>
      <c r="J42" s="191" t="s">
        <v>431</v>
      </c>
      <c r="K42" s="188"/>
      <c r="L42" s="188">
        <v>28</v>
      </c>
      <c r="M42" s="164"/>
      <c r="N42" s="164"/>
      <c r="O42" s="164">
        <v>29</v>
      </c>
      <c r="P42" s="189"/>
      <c r="Q42" s="189"/>
      <c r="R42" s="189">
        <v>29</v>
      </c>
      <c r="S42" s="190"/>
      <c r="T42" s="190"/>
      <c r="U42" s="190">
        <v>29</v>
      </c>
      <c r="V42" s="188"/>
    </row>
    <row r="43" spans="1:23" s="165" customFormat="1" ht="18">
      <c r="A43" s="390"/>
      <c r="B43" s="373" t="s">
        <v>226</v>
      </c>
      <c r="C43" s="373" t="s">
        <v>137</v>
      </c>
      <c r="D43" s="373" t="s">
        <v>221</v>
      </c>
      <c r="E43" s="445"/>
      <c r="F43" s="445"/>
      <c r="G43" s="3" t="s">
        <v>159</v>
      </c>
      <c r="H43" s="11"/>
      <c r="I43" s="11">
        <v>44405</v>
      </c>
      <c r="J43" s="191" t="s">
        <v>431</v>
      </c>
      <c r="K43" s="188"/>
      <c r="L43" s="188"/>
      <c r="M43" s="164"/>
      <c r="N43" s="164"/>
      <c r="O43" s="164"/>
      <c r="P43" s="189"/>
      <c r="Q43" s="189"/>
      <c r="R43" s="189"/>
      <c r="S43" s="190"/>
      <c r="T43" s="190"/>
      <c r="U43" s="190"/>
      <c r="V43" s="188"/>
    </row>
    <row r="44" spans="1:23" s="165" customFormat="1">
      <c r="A44" s="388" t="s">
        <v>37</v>
      </c>
      <c r="B44" s="371" t="s">
        <v>227</v>
      </c>
      <c r="C44" s="371" t="s">
        <v>137</v>
      </c>
      <c r="D44" s="371" t="s">
        <v>221</v>
      </c>
      <c r="E44" s="443" t="s">
        <v>430</v>
      </c>
      <c r="F44" s="443"/>
      <c r="G44" s="3" t="s">
        <v>159</v>
      </c>
      <c r="H44" s="11">
        <v>44315</v>
      </c>
      <c r="I44" s="11">
        <v>44403</v>
      </c>
      <c r="J44" s="4"/>
      <c r="K44" s="188"/>
      <c r="L44" s="188"/>
      <c r="M44" s="164"/>
      <c r="N44" s="164"/>
      <c r="O44" s="164"/>
      <c r="P44" s="189"/>
      <c r="Q44" s="189"/>
      <c r="R44" s="189"/>
      <c r="S44" s="190"/>
      <c r="T44" s="190"/>
      <c r="U44" s="190"/>
      <c r="V44" s="188"/>
    </row>
    <row r="45" spans="1:23" s="165" customFormat="1">
      <c r="A45" s="389"/>
      <c r="B45" s="372" t="s">
        <v>227</v>
      </c>
      <c r="C45" s="372" t="s">
        <v>137</v>
      </c>
      <c r="D45" s="372" t="s">
        <v>221</v>
      </c>
      <c r="E45" s="444"/>
      <c r="F45" s="444"/>
      <c r="G45" s="3" t="s">
        <v>157</v>
      </c>
      <c r="H45" s="11">
        <v>44315</v>
      </c>
      <c r="I45" s="11">
        <v>44403</v>
      </c>
      <c r="J45" s="4"/>
      <c r="K45" s="188"/>
      <c r="L45" s="188">
        <v>3</v>
      </c>
      <c r="M45" s="164"/>
      <c r="N45" s="164"/>
      <c r="O45" s="164">
        <v>3</v>
      </c>
      <c r="P45" s="189"/>
      <c r="Q45" s="189"/>
      <c r="R45" s="189">
        <v>3</v>
      </c>
      <c r="S45" s="190"/>
      <c r="T45" s="190"/>
      <c r="U45" s="190">
        <v>3</v>
      </c>
      <c r="V45" s="188"/>
    </row>
    <row r="46" spans="1:23" s="165" customFormat="1">
      <c r="A46" s="389"/>
      <c r="B46" s="372" t="s">
        <v>227</v>
      </c>
      <c r="C46" s="372" t="s">
        <v>137</v>
      </c>
      <c r="D46" s="372" t="s">
        <v>221</v>
      </c>
      <c r="E46" s="444"/>
      <c r="F46" s="444"/>
      <c r="G46" s="3" t="s">
        <v>158</v>
      </c>
      <c r="H46" s="11">
        <v>44315</v>
      </c>
      <c r="I46" s="11">
        <v>44403</v>
      </c>
      <c r="J46" s="4"/>
      <c r="K46" s="188"/>
      <c r="L46" s="188"/>
      <c r="M46" s="164"/>
      <c r="N46" s="164"/>
      <c r="O46" s="164"/>
      <c r="P46" s="189"/>
      <c r="Q46" s="189"/>
      <c r="R46" s="189"/>
      <c r="S46" s="190"/>
      <c r="T46" s="190"/>
      <c r="U46" s="190"/>
      <c r="V46" s="188"/>
    </row>
    <row r="47" spans="1:23" s="165" customFormat="1">
      <c r="A47" s="390"/>
      <c r="B47" s="373" t="s">
        <v>227</v>
      </c>
      <c r="C47" s="373" t="s">
        <v>137</v>
      </c>
      <c r="D47" s="373" t="s">
        <v>221</v>
      </c>
      <c r="E47" s="445"/>
      <c r="F47" s="445"/>
      <c r="G47" s="3" t="s">
        <v>135</v>
      </c>
      <c r="H47" s="11">
        <v>44315</v>
      </c>
      <c r="I47" s="11">
        <v>44403</v>
      </c>
      <c r="J47" s="192"/>
      <c r="K47" s="188"/>
      <c r="L47" s="188">
        <v>28</v>
      </c>
      <c r="M47" s="164"/>
      <c r="N47" s="164"/>
      <c r="O47" s="164">
        <v>29</v>
      </c>
      <c r="P47" s="189"/>
      <c r="Q47" s="189"/>
      <c r="R47" s="189">
        <v>29</v>
      </c>
      <c r="S47" s="190"/>
      <c r="T47" s="190"/>
      <c r="U47" s="190">
        <v>29</v>
      </c>
      <c r="V47" s="188"/>
    </row>
    <row r="48" spans="1:23" s="1" customFormat="1" ht="34.25" customHeight="1">
      <c r="A48" s="224" t="s">
        <v>362</v>
      </c>
      <c r="B48" s="225" t="s">
        <v>483</v>
      </c>
      <c r="C48" s="7"/>
      <c r="D48" s="133"/>
      <c r="E48" s="6">
        <v>45049</v>
      </c>
      <c r="F48" s="112">
        <v>45134</v>
      </c>
      <c r="G48" s="133" t="s">
        <v>361</v>
      </c>
      <c r="H48" s="6"/>
      <c r="I48" s="226"/>
      <c r="J48" s="227" t="s">
        <v>466</v>
      </c>
      <c r="K48" s="134"/>
      <c r="L48" s="134" t="s">
        <v>363</v>
      </c>
      <c r="M48" s="135"/>
      <c r="N48" s="135"/>
      <c r="O48" s="135" t="s">
        <v>363</v>
      </c>
      <c r="P48" s="46"/>
      <c r="Q48" s="46"/>
      <c r="R48" s="46" t="s">
        <v>363</v>
      </c>
      <c r="S48" s="136"/>
      <c r="T48" s="136"/>
      <c r="U48" s="136" t="s">
        <v>363</v>
      </c>
      <c r="V48" s="134"/>
      <c r="W48" s="7"/>
    </row>
    <row r="49" spans="2:22" ht="18">
      <c r="B49" s="2" t="s">
        <v>485</v>
      </c>
      <c r="E49" s="235">
        <v>45184</v>
      </c>
      <c r="G49" s="236" t="s">
        <v>486</v>
      </c>
      <c r="K49" s="169"/>
      <c r="L49" s="169"/>
      <c r="M49" s="237" t="s">
        <v>488</v>
      </c>
      <c r="N49" s="162"/>
      <c r="O49" s="162"/>
      <c r="P49" s="162" t="s">
        <v>487</v>
      </c>
      <c r="Q49" s="163"/>
      <c r="R49" s="163"/>
      <c r="S49" s="163" t="s">
        <v>487</v>
      </c>
      <c r="T49" s="164"/>
      <c r="U49" s="164"/>
      <c r="V49" s="164" t="s">
        <v>487</v>
      </c>
    </row>
  </sheetData>
  <autoFilter ref="A1:J1" xr:uid="{00000000-0001-0000-0100-000000000000}"/>
  <mergeCells count="55">
    <mergeCell ref="F40:F43"/>
    <mergeCell ref="A44:A47"/>
    <mergeCell ref="B44:B47"/>
    <mergeCell ref="C44:C47"/>
    <mergeCell ref="D44:D47"/>
    <mergeCell ref="E44:E47"/>
    <mergeCell ref="F44:F47"/>
    <mergeCell ref="E37:E39"/>
    <mergeCell ref="A40:A43"/>
    <mergeCell ref="B40:B43"/>
    <mergeCell ref="C40:C43"/>
    <mergeCell ref="D40:D43"/>
    <mergeCell ref="E40:E43"/>
    <mergeCell ref="A33:A36"/>
    <mergeCell ref="B33:B36"/>
    <mergeCell ref="C33:C36"/>
    <mergeCell ref="D33:D36"/>
    <mergeCell ref="A37:A39"/>
    <mergeCell ref="B37:B39"/>
    <mergeCell ref="C37:C39"/>
    <mergeCell ref="D37:D39"/>
    <mergeCell ref="F30:F32"/>
    <mergeCell ref="E24:E26"/>
    <mergeCell ref="F24:F26"/>
    <mergeCell ref="A27:A29"/>
    <mergeCell ref="B27:B29"/>
    <mergeCell ref="C27:C29"/>
    <mergeCell ref="D27:D29"/>
    <mergeCell ref="E27:E29"/>
    <mergeCell ref="F27:F29"/>
    <mergeCell ref="A24:A26"/>
    <mergeCell ref="A30:A32"/>
    <mergeCell ref="B30:B32"/>
    <mergeCell ref="C30:C32"/>
    <mergeCell ref="D30:D32"/>
    <mergeCell ref="E30:E32"/>
    <mergeCell ref="E18:E20"/>
    <mergeCell ref="F18:F20"/>
    <mergeCell ref="B21:B23"/>
    <mergeCell ref="C21:C23"/>
    <mergeCell ref="D21:D23"/>
    <mergeCell ref="E21:E23"/>
    <mergeCell ref="F21:F23"/>
    <mergeCell ref="A21:A23"/>
    <mergeCell ref="B24:B26"/>
    <mergeCell ref="C24:C26"/>
    <mergeCell ref="D24:D26"/>
    <mergeCell ref="A2:A3"/>
    <mergeCell ref="B2:B3"/>
    <mergeCell ref="C2:C3"/>
    <mergeCell ref="D2:D3"/>
    <mergeCell ref="A18:A20"/>
    <mergeCell ref="B18:B20"/>
    <mergeCell ref="C18:C20"/>
    <mergeCell ref="D18:D20"/>
  </mergeCells>
  <phoneticPr fontId="1" type="noConversion"/>
  <conditionalFormatting sqref="M32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{063324C3-9871-4A59-87C7-6856FC6E26ED}</x14:id>
        </ext>
      </extLst>
    </cfRule>
    <cfRule type="colorScale" priority="4">
      <colorScale>
        <cfvo type="num" val="0"/>
        <cfvo type="num" val="0"/>
        <color rgb="FFFF7128"/>
        <color rgb="FFFFEF9C"/>
      </colorScale>
    </cfRule>
  </conditionalFormatting>
  <conditionalFormatting sqref="M3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{D6899D0B-2E29-4871-A5FF-C1773E51B14D}</x14:id>
        </ext>
      </extLst>
    </cfRule>
    <cfRule type="colorScale" priority="2">
      <colorScale>
        <cfvo type="num" val="0"/>
        <cfvo type="num" val="0"/>
        <color rgb="FFFF7128"/>
        <color rgb="FFFFEF9C"/>
      </colorScale>
    </cfRule>
  </conditionalFormatting>
  <dataValidations count="2">
    <dataValidation type="list" allowBlank="1" showInputMessage="1" showErrorMessage="1" sqref="A49:A103" xr:uid="{D33098B0-F4CD-4597-8553-70FCA0AFA724}">
      <formula1>"POST,HNCB,FCB,BOT,NET"</formula1>
    </dataValidation>
    <dataValidation type="list" allowBlank="1" showInputMessage="1" showErrorMessage="1" sqref="A2 A33 A37 A40 A44 A21 A24 A27 A4:A18" xr:uid="{EC25616F-EAD7-44C3-99ED-8B7D567CABFA}">
      <formula1>"POST,HNCB,FCB,BOT,SKI,NET"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63324C3-9871-4A59-87C7-6856FC6E26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M32</xm:sqref>
        </x14:conditionalFormatting>
        <x14:conditionalFormatting xmlns:xm="http://schemas.microsoft.com/office/excel/2006/main">
          <x14:cfRule type="dataBar" id="{D6899D0B-2E29-4871-A5FF-C1773E51B1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M33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547AF-263C-4833-8631-FFECB3E52884}">
  <sheetPr>
    <tabColor theme="9"/>
  </sheetPr>
  <dimension ref="A1:AN19"/>
  <sheetViews>
    <sheetView zoomScale="80" zoomScaleNormal="80" workbookViewId="0">
      <pane xSplit="7" topLeftCell="K1" activePane="topRight" state="frozen"/>
      <selection pane="topRight" activeCell="E9" sqref="E9"/>
    </sheetView>
  </sheetViews>
  <sheetFormatPr defaultColWidth="10.81640625" defaultRowHeight="17"/>
  <cols>
    <col min="1" max="1" width="10.81640625" style="2"/>
    <col min="2" max="2" width="26.6328125" style="2" customWidth="1"/>
    <col min="3" max="4" width="12.81640625" style="2" customWidth="1"/>
    <col min="5" max="5" width="16.08984375" style="78" customWidth="1"/>
    <col min="6" max="6" width="17.7265625" style="78" customWidth="1"/>
    <col min="7" max="7" width="18.453125" style="2" customWidth="1"/>
    <col min="8" max="9" width="14.08984375" style="2" customWidth="1"/>
    <col min="10" max="10" width="32.6328125" style="1" customWidth="1"/>
  </cols>
  <sheetData>
    <row r="1" spans="1:40" ht="18.5">
      <c r="A1" s="20" t="s">
        <v>0</v>
      </c>
      <c r="B1" s="20" t="s">
        <v>1</v>
      </c>
      <c r="C1" s="20" t="s">
        <v>2</v>
      </c>
      <c r="D1" s="20" t="s">
        <v>3</v>
      </c>
      <c r="E1" s="77" t="s">
        <v>9</v>
      </c>
      <c r="F1" s="77" t="s">
        <v>333</v>
      </c>
      <c r="G1" s="20" t="s">
        <v>4</v>
      </c>
      <c r="H1" s="20" t="s">
        <v>5</v>
      </c>
      <c r="I1" s="20" t="s">
        <v>6</v>
      </c>
      <c r="J1" s="20" t="s">
        <v>7</v>
      </c>
      <c r="K1" s="35" t="s">
        <v>305</v>
      </c>
      <c r="L1" s="35" t="s">
        <v>306</v>
      </c>
      <c r="M1" s="35" t="s">
        <v>307</v>
      </c>
      <c r="N1" s="35" t="s">
        <v>308</v>
      </c>
      <c r="O1" s="35" t="s">
        <v>309</v>
      </c>
      <c r="P1" s="35" t="s">
        <v>310</v>
      </c>
      <c r="Q1" s="35" t="s">
        <v>311</v>
      </c>
      <c r="R1" s="35" t="s">
        <v>312</v>
      </c>
      <c r="S1" s="35" t="s">
        <v>313</v>
      </c>
      <c r="T1" s="35" t="s">
        <v>314</v>
      </c>
      <c r="U1" s="35" t="s">
        <v>315</v>
      </c>
      <c r="V1" s="35" t="s">
        <v>316</v>
      </c>
    </row>
    <row r="2" spans="1:40" s="165" customFormat="1">
      <c r="A2" s="18" t="s">
        <v>10</v>
      </c>
      <c r="B2" s="365" t="s">
        <v>481</v>
      </c>
      <c r="C2" s="132" t="s">
        <v>366</v>
      </c>
      <c r="D2" s="3" t="s">
        <v>432</v>
      </c>
      <c r="E2" s="186">
        <v>45776</v>
      </c>
      <c r="F2" s="186">
        <f>E2+61</f>
        <v>45837</v>
      </c>
      <c r="G2" s="53" t="s">
        <v>147</v>
      </c>
      <c r="H2" s="193">
        <v>43952</v>
      </c>
      <c r="I2" s="193">
        <v>45777</v>
      </c>
      <c r="J2" s="4"/>
      <c r="K2" s="116"/>
      <c r="L2" s="117"/>
      <c r="M2" s="294"/>
      <c r="N2" s="295" t="s">
        <v>335</v>
      </c>
      <c r="O2" s="118"/>
      <c r="P2" s="118"/>
      <c r="Q2" s="118"/>
      <c r="R2" s="119"/>
      <c r="S2" s="119"/>
      <c r="T2" s="119"/>
      <c r="U2" s="116"/>
      <c r="V2" s="116"/>
      <c r="AN2" s="165">
        <v>123</v>
      </c>
    </row>
    <row r="3" spans="1:40" s="165" customFormat="1">
      <c r="A3" s="18" t="s">
        <v>10</v>
      </c>
      <c r="B3" s="366" t="s">
        <v>433</v>
      </c>
      <c r="C3" s="132" t="s">
        <v>366</v>
      </c>
      <c r="D3" s="3" t="s">
        <v>432</v>
      </c>
      <c r="E3" s="186">
        <v>45776</v>
      </c>
      <c r="F3" s="186">
        <f t="shared" ref="F3:F16" si="0">E3+61</f>
        <v>45837</v>
      </c>
      <c r="G3" s="53" t="s">
        <v>147</v>
      </c>
      <c r="H3" s="193">
        <v>43952</v>
      </c>
      <c r="I3" s="193">
        <v>45777</v>
      </c>
      <c r="J3" s="4"/>
      <c r="K3" s="116"/>
      <c r="L3" s="117"/>
      <c r="M3" s="294"/>
      <c r="N3" s="295" t="s">
        <v>335</v>
      </c>
      <c r="O3" s="118"/>
      <c r="P3" s="118"/>
      <c r="Q3" s="118"/>
      <c r="R3" s="119"/>
      <c r="S3" s="119"/>
      <c r="T3" s="119"/>
      <c r="U3" s="116"/>
      <c r="V3" s="116"/>
    </row>
    <row r="4" spans="1:40">
      <c r="A4" s="18" t="s">
        <v>10</v>
      </c>
      <c r="B4" s="364" t="s">
        <v>434</v>
      </c>
      <c r="C4" s="132" t="s">
        <v>366</v>
      </c>
      <c r="D4" s="3" t="s">
        <v>435</v>
      </c>
      <c r="E4" s="186">
        <v>45776</v>
      </c>
      <c r="F4" s="186">
        <f t="shared" si="0"/>
        <v>45837</v>
      </c>
      <c r="G4" s="53" t="s">
        <v>353</v>
      </c>
      <c r="H4" s="193">
        <v>44621</v>
      </c>
      <c r="I4" s="193">
        <v>44804</v>
      </c>
      <c r="J4" s="4"/>
      <c r="K4" s="116"/>
      <c r="L4" s="117"/>
      <c r="M4" s="294"/>
      <c r="N4" s="295" t="s">
        <v>335</v>
      </c>
      <c r="O4" s="118"/>
      <c r="P4" s="118"/>
      <c r="Q4" s="118"/>
      <c r="R4" s="119"/>
      <c r="S4" s="119"/>
      <c r="T4" s="119"/>
      <c r="U4" s="116"/>
      <c r="V4" s="116"/>
    </row>
    <row r="5" spans="1:40">
      <c r="A5" s="18" t="s">
        <v>10</v>
      </c>
      <c r="B5" s="364" t="s">
        <v>436</v>
      </c>
      <c r="C5" s="132" t="s">
        <v>366</v>
      </c>
      <c r="D5" s="3" t="s">
        <v>437</v>
      </c>
      <c r="E5" s="186">
        <v>45776</v>
      </c>
      <c r="F5" s="186">
        <f t="shared" si="0"/>
        <v>45837</v>
      </c>
      <c r="G5" s="53" t="s">
        <v>353</v>
      </c>
      <c r="H5" s="193">
        <v>44621</v>
      </c>
      <c r="I5" s="193">
        <v>44804</v>
      </c>
      <c r="J5" s="3"/>
      <c r="K5" s="116"/>
      <c r="L5" s="117"/>
      <c r="M5" s="294"/>
      <c r="N5" s="295" t="s">
        <v>335</v>
      </c>
      <c r="O5" s="118"/>
      <c r="P5" s="118"/>
      <c r="Q5" s="118"/>
      <c r="R5" s="119"/>
      <c r="S5" s="119"/>
      <c r="T5" s="119"/>
      <c r="U5" s="116"/>
      <c r="V5" s="116"/>
    </row>
    <row r="6" spans="1:40">
      <c r="A6" s="18" t="s">
        <v>10</v>
      </c>
      <c r="B6" s="451" t="s">
        <v>438</v>
      </c>
      <c r="C6" s="132" t="s">
        <v>366</v>
      </c>
      <c r="D6" s="3" t="s">
        <v>439</v>
      </c>
      <c r="E6" s="186">
        <v>45776</v>
      </c>
      <c r="F6" s="186">
        <f t="shared" si="0"/>
        <v>45837</v>
      </c>
      <c r="G6" s="53" t="s">
        <v>147</v>
      </c>
      <c r="H6" s="193">
        <v>43952</v>
      </c>
      <c r="I6" s="193">
        <v>45777</v>
      </c>
      <c r="J6" s="3"/>
      <c r="K6" s="116"/>
      <c r="L6" s="117"/>
      <c r="M6" s="294"/>
      <c r="N6" s="295" t="s">
        <v>335</v>
      </c>
      <c r="O6" s="118"/>
      <c r="P6" s="118"/>
      <c r="Q6" s="118"/>
      <c r="R6" s="119"/>
      <c r="S6" s="119"/>
      <c r="T6" s="119"/>
      <c r="U6" s="116"/>
      <c r="V6" s="116"/>
    </row>
    <row r="7" spans="1:40">
      <c r="A7" s="18" t="s">
        <v>10</v>
      </c>
      <c r="B7" s="452"/>
      <c r="C7" s="132" t="s">
        <v>366</v>
      </c>
      <c r="D7" s="3" t="s">
        <v>439</v>
      </c>
      <c r="E7" s="186">
        <v>45776</v>
      </c>
      <c r="F7" s="186">
        <f t="shared" si="0"/>
        <v>45837</v>
      </c>
      <c r="G7" s="289" t="s">
        <v>440</v>
      </c>
      <c r="H7" s="193">
        <v>43525</v>
      </c>
      <c r="I7" s="193">
        <v>45351</v>
      </c>
      <c r="J7" s="3"/>
      <c r="K7" s="116"/>
      <c r="L7" s="116"/>
      <c r="M7" s="294"/>
      <c r="N7" s="295" t="s">
        <v>335</v>
      </c>
      <c r="O7" s="117"/>
      <c r="P7" s="118"/>
      <c r="Q7" s="118"/>
      <c r="R7" s="118"/>
      <c r="S7" s="119"/>
      <c r="T7" s="119"/>
      <c r="U7" s="119"/>
      <c r="V7" s="116"/>
    </row>
    <row r="8" spans="1:40">
      <c r="A8" s="18" t="s">
        <v>10</v>
      </c>
      <c r="B8" s="364" t="s">
        <v>505</v>
      </c>
      <c r="C8" s="132" t="s">
        <v>366</v>
      </c>
      <c r="D8" s="3" t="s">
        <v>439</v>
      </c>
      <c r="E8" s="186">
        <v>45776</v>
      </c>
      <c r="F8" s="186">
        <f t="shared" si="0"/>
        <v>45837</v>
      </c>
      <c r="G8" s="53" t="s">
        <v>353</v>
      </c>
      <c r="H8" s="193">
        <v>44621</v>
      </c>
      <c r="I8" s="193">
        <v>44804</v>
      </c>
      <c r="J8" s="3"/>
      <c r="K8" s="116"/>
      <c r="L8" s="117"/>
      <c r="M8" s="294"/>
      <c r="N8" s="295" t="s">
        <v>335</v>
      </c>
      <c r="O8" s="118"/>
      <c r="P8" s="118"/>
      <c r="Q8" s="118"/>
      <c r="R8" s="119"/>
      <c r="S8" s="119"/>
      <c r="T8" s="119"/>
      <c r="U8" s="116"/>
      <c r="V8" s="116"/>
    </row>
    <row r="9" spans="1:40" ht="18">
      <c r="A9" s="18" t="s">
        <v>10</v>
      </c>
      <c r="B9" s="351" t="s">
        <v>441</v>
      </c>
      <c r="C9" s="132" t="s">
        <v>366</v>
      </c>
      <c r="D9" s="3" t="s">
        <v>439</v>
      </c>
      <c r="E9" s="186">
        <v>45727</v>
      </c>
      <c r="F9" s="186">
        <f>E9+61</f>
        <v>45788</v>
      </c>
      <c r="G9" s="166" t="s">
        <v>484</v>
      </c>
      <c r="H9" s="193">
        <v>43374</v>
      </c>
      <c r="I9" s="193">
        <v>44834</v>
      </c>
      <c r="J9" s="3" t="s">
        <v>442</v>
      </c>
      <c r="K9" s="290"/>
      <c r="L9" s="290"/>
      <c r="M9" s="293" t="s">
        <v>335</v>
      </c>
      <c r="N9" s="348"/>
      <c r="O9" s="162"/>
      <c r="P9" s="162"/>
      <c r="Q9" s="163"/>
      <c r="R9" s="163"/>
      <c r="S9" s="163"/>
      <c r="T9" s="164"/>
      <c r="U9" s="164"/>
      <c r="V9" s="164"/>
    </row>
    <row r="10" spans="1:40">
      <c r="A10" s="18" t="s">
        <v>10</v>
      </c>
      <c r="B10" s="364" t="s">
        <v>443</v>
      </c>
      <c r="C10" s="132" t="s">
        <v>366</v>
      </c>
      <c r="D10" s="3" t="s">
        <v>444</v>
      </c>
      <c r="E10" s="186">
        <v>45776</v>
      </c>
      <c r="F10" s="186">
        <f t="shared" si="0"/>
        <v>45837</v>
      </c>
      <c r="G10" s="53" t="s">
        <v>353</v>
      </c>
      <c r="H10" s="193">
        <v>44621</v>
      </c>
      <c r="I10" s="193">
        <v>44804</v>
      </c>
      <c r="J10" s="4"/>
      <c r="K10" s="116"/>
      <c r="L10" s="117"/>
      <c r="M10" s="294"/>
      <c r="N10" s="295" t="s">
        <v>335</v>
      </c>
      <c r="O10" s="118"/>
      <c r="P10" s="118"/>
      <c r="Q10" s="118"/>
      <c r="R10" s="119"/>
      <c r="S10" s="119"/>
      <c r="T10" s="119"/>
      <c r="U10" s="116"/>
      <c r="V10" s="116"/>
    </row>
    <row r="11" spans="1:40" ht="18">
      <c r="A11" s="18" t="s">
        <v>162</v>
      </c>
      <c r="B11" s="367" t="s">
        <v>506</v>
      </c>
      <c r="C11" s="3"/>
      <c r="D11" s="7" t="s">
        <v>510</v>
      </c>
      <c r="E11" s="186">
        <v>45776</v>
      </c>
      <c r="F11" s="186">
        <f t="shared" si="0"/>
        <v>45837</v>
      </c>
      <c r="G11" s="288" t="s">
        <v>511</v>
      </c>
      <c r="H11" s="3"/>
      <c r="I11" s="3"/>
      <c r="J11" s="4"/>
      <c r="K11" s="116"/>
      <c r="L11" s="117"/>
      <c r="M11" s="294"/>
      <c r="N11" s="295" t="s">
        <v>335</v>
      </c>
      <c r="O11" s="118"/>
      <c r="P11" s="118"/>
      <c r="Q11" s="118"/>
      <c r="R11" s="119"/>
      <c r="S11" s="119"/>
      <c r="T11" s="119"/>
      <c r="U11" s="116"/>
      <c r="V11" s="116"/>
    </row>
    <row r="12" spans="1:40" ht="18">
      <c r="A12" s="18" t="s">
        <v>162</v>
      </c>
      <c r="B12" s="368" t="s">
        <v>507</v>
      </c>
      <c r="C12" s="3"/>
      <c r="D12" s="7" t="s">
        <v>510</v>
      </c>
      <c r="E12" s="186">
        <v>45776</v>
      </c>
      <c r="F12" s="186">
        <f t="shared" si="0"/>
        <v>45837</v>
      </c>
      <c r="G12" s="7" t="s">
        <v>492</v>
      </c>
      <c r="H12" s="3"/>
      <c r="I12" s="3"/>
      <c r="J12" s="4"/>
      <c r="K12" s="290"/>
      <c r="L12" s="290"/>
      <c r="M12" s="293"/>
      <c r="N12" s="348" t="s">
        <v>335</v>
      </c>
      <c r="O12" s="162"/>
      <c r="P12" s="162"/>
      <c r="Q12" s="163"/>
      <c r="R12" s="163"/>
      <c r="S12" s="163"/>
      <c r="T12" s="164"/>
      <c r="U12" s="164"/>
      <c r="V12" s="164"/>
    </row>
    <row r="13" spans="1:40" ht="18">
      <c r="A13" s="18" t="s">
        <v>162</v>
      </c>
      <c r="B13" s="367" t="s">
        <v>508</v>
      </c>
      <c r="C13" s="3"/>
      <c r="D13" s="7" t="s">
        <v>510</v>
      </c>
      <c r="E13" s="186">
        <v>45776</v>
      </c>
      <c r="F13" s="186">
        <f t="shared" si="0"/>
        <v>45837</v>
      </c>
      <c r="G13" s="287" t="s">
        <v>65</v>
      </c>
      <c r="H13" s="3"/>
      <c r="I13" s="3"/>
      <c r="J13" s="4"/>
      <c r="K13" s="116"/>
      <c r="L13" s="117"/>
      <c r="M13" s="294"/>
      <c r="N13" s="295" t="s">
        <v>335</v>
      </c>
      <c r="O13" s="118"/>
      <c r="P13" s="118"/>
      <c r="Q13" s="118"/>
      <c r="R13" s="119"/>
      <c r="S13" s="119"/>
      <c r="T13" s="119"/>
      <c r="U13" s="116"/>
      <c r="V13" s="116"/>
    </row>
    <row r="14" spans="1:40" ht="18">
      <c r="A14" s="18" t="s">
        <v>162</v>
      </c>
      <c r="B14" s="368" t="s">
        <v>509</v>
      </c>
      <c r="C14" s="3"/>
      <c r="D14" s="7" t="s">
        <v>510</v>
      </c>
      <c r="E14" s="186">
        <v>45776</v>
      </c>
      <c r="F14" s="186">
        <f t="shared" si="0"/>
        <v>45837</v>
      </c>
      <c r="G14" s="7" t="s">
        <v>492</v>
      </c>
      <c r="H14" s="3"/>
      <c r="I14" s="3"/>
      <c r="J14" s="4"/>
      <c r="K14" s="290"/>
      <c r="L14" s="290"/>
      <c r="M14" s="293"/>
      <c r="N14" s="348" t="s">
        <v>335</v>
      </c>
      <c r="O14" s="162"/>
      <c r="P14" s="162"/>
      <c r="Q14" s="163"/>
      <c r="R14" s="163"/>
      <c r="S14" s="163"/>
      <c r="T14" s="164"/>
      <c r="U14" s="164"/>
      <c r="V14" s="164"/>
    </row>
    <row r="15" spans="1:40" ht="18">
      <c r="A15" s="18" t="s">
        <v>162</v>
      </c>
      <c r="B15" s="369" t="s">
        <v>512</v>
      </c>
      <c r="C15" s="3"/>
      <c r="D15" s="7" t="s">
        <v>514</v>
      </c>
      <c r="E15" s="186">
        <v>45776</v>
      </c>
      <c r="F15" s="186">
        <f t="shared" si="0"/>
        <v>45837</v>
      </c>
      <c r="G15" s="7" t="s">
        <v>147</v>
      </c>
      <c r="H15" s="3"/>
      <c r="I15" s="3"/>
      <c r="J15" s="4"/>
      <c r="K15" s="116"/>
      <c r="L15" s="117"/>
      <c r="M15" s="294"/>
      <c r="N15" s="295" t="s">
        <v>335</v>
      </c>
      <c r="O15" s="118"/>
      <c r="P15" s="118"/>
      <c r="Q15" s="118"/>
      <c r="R15" s="119"/>
      <c r="S15" s="119"/>
      <c r="T15" s="119"/>
      <c r="U15" s="116"/>
      <c r="V15" s="116"/>
    </row>
    <row r="16" spans="1:40" ht="18">
      <c r="A16" s="18" t="s">
        <v>162</v>
      </c>
      <c r="B16" s="369" t="s">
        <v>513</v>
      </c>
      <c r="C16" s="3"/>
      <c r="D16" s="7" t="s">
        <v>514</v>
      </c>
      <c r="E16" s="186">
        <v>45776</v>
      </c>
      <c r="F16" s="186">
        <f t="shared" si="0"/>
        <v>45837</v>
      </c>
      <c r="G16" s="7" t="s">
        <v>354</v>
      </c>
      <c r="H16" s="3"/>
      <c r="I16" s="3"/>
      <c r="J16" s="4"/>
      <c r="K16" s="116"/>
      <c r="L16" s="117"/>
      <c r="M16" s="117"/>
      <c r="N16" s="292" t="s">
        <v>335</v>
      </c>
      <c r="O16" s="118"/>
      <c r="P16" s="118"/>
      <c r="Q16" s="118"/>
      <c r="R16" s="119"/>
      <c r="S16" s="119"/>
      <c r="T16" s="119"/>
      <c r="U16" s="116"/>
      <c r="V16" s="116"/>
    </row>
    <row r="17" spans="1:22" ht="18">
      <c r="A17" s="450" t="s">
        <v>191</v>
      </c>
      <c r="B17" s="7" t="s">
        <v>515</v>
      </c>
      <c r="C17" s="3"/>
      <c r="D17" s="7" t="s">
        <v>510</v>
      </c>
      <c r="E17" s="29">
        <v>45308</v>
      </c>
      <c r="F17" s="11"/>
      <c r="G17" s="7" t="s">
        <v>43</v>
      </c>
      <c r="H17" s="3"/>
      <c r="I17" s="3"/>
      <c r="J17" s="4"/>
      <c r="K17" s="291"/>
      <c r="L17" s="291"/>
      <c r="M17" s="291"/>
      <c r="N17" s="291"/>
      <c r="O17" s="291"/>
      <c r="P17" s="291"/>
      <c r="Q17" s="291"/>
      <c r="R17" s="291"/>
      <c r="S17" s="291"/>
      <c r="T17" s="291"/>
      <c r="U17" s="291"/>
      <c r="V17" s="291"/>
    </row>
    <row r="18" spans="1:22" ht="18">
      <c r="A18" s="450"/>
      <c r="B18" s="7" t="s">
        <v>515</v>
      </c>
      <c r="C18" s="3"/>
      <c r="D18" s="7" t="s">
        <v>510</v>
      </c>
      <c r="E18" s="29">
        <v>45308</v>
      </c>
      <c r="F18" s="11"/>
      <c r="G18" s="7" t="s">
        <v>44</v>
      </c>
      <c r="H18" s="3"/>
      <c r="I18" s="3"/>
      <c r="J18" s="4"/>
      <c r="K18" s="291"/>
      <c r="L18" s="291"/>
      <c r="M18" s="291"/>
      <c r="N18" s="291"/>
      <c r="O18" s="291"/>
      <c r="P18" s="291"/>
      <c r="Q18" s="291"/>
      <c r="R18" s="291"/>
      <c r="S18" s="291"/>
      <c r="T18" s="291"/>
      <c r="U18" s="291"/>
      <c r="V18" s="291"/>
    </row>
    <row r="19" spans="1:22" ht="18">
      <c r="A19" s="450"/>
      <c r="B19" s="7" t="s">
        <v>515</v>
      </c>
      <c r="C19" s="3"/>
      <c r="D19" s="7" t="s">
        <v>510</v>
      </c>
      <c r="E19" s="29">
        <v>45308</v>
      </c>
      <c r="F19" s="11"/>
      <c r="G19" s="7" t="s">
        <v>46</v>
      </c>
      <c r="H19" s="3"/>
      <c r="I19" s="3"/>
      <c r="J19" s="4"/>
      <c r="K19" s="291"/>
      <c r="L19" s="291"/>
      <c r="M19" s="291"/>
      <c r="N19" s="291"/>
      <c r="O19" s="291"/>
      <c r="P19" s="291"/>
      <c r="Q19" s="291"/>
      <c r="R19" s="291"/>
      <c r="S19" s="291"/>
      <c r="T19" s="291"/>
      <c r="U19" s="291"/>
      <c r="V19" s="291"/>
    </row>
  </sheetData>
  <autoFilter ref="A1:J19" xr:uid="{00000000-0001-0000-0100-000000000000}"/>
  <mergeCells count="2">
    <mergeCell ref="A17:A19"/>
    <mergeCell ref="B6:B7"/>
  </mergeCells>
  <phoneticPr fontId="1" type="noConversion"/>
  <conditionalFormatting sqref="E17:E19">
    <cfRule type="containsBlanks" dxfId="14" priority="1">
      <formula>LEN(TRIM(E17))=0</formula>
    </cfRule>
  </conditionalFormatting>
  <dataValidations count="2">
    <dataValidation type="list" allowBlank="1" showInputMessage="1" showErrorMessage="1" sqref="A2:A10" xr:uid="{8126AF91-EA85-41A9-8789-F97FC2FAF129}">
      <formula1>"POST,HNCB,FCB,BOT,SKI,NET"</formula1>
    </dataValidation>
    <dataValidation type="list" allowBlank="1" showInputMessage="1" showErrorMessage="1" sqref="A11:A79" xr:uid="{75A3BBB8-C714-41B5-A12B-1E7CA724D3C2}">
      <formula1>"POST,HNCB,FCB,BOT,NET"</formula1>
    </dataValidation>
  </dataValidation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FDB01-3546-4B8D-91E3-590F4DBAA52E}">
  <sheetPr>
    <tabColor theme="9"/>
  </sheetPr>
  <dimension ref="A1:U58"/>
  <sheetViews>
    <sheetView tabSelected="1" zoomScale="85" zoomScaleNormal="85" workbookViewId="0">
      <selection activeCell="E22" sqref="E22"/>
    </sheetView>
  </sheetViews>
  <sheetFormatPr defaultRowHeight="17"/>
  <cols>
    <col min="1" max="1" width="8.26953125" customWidth="1"/>
    <col min="2" max="2" width="24.453125" customWidth="1"/>
    <col min="5" max="5" width="14.453125" customWidth="1"/>
    <col min="6" max="6" width="15.36328125" customWidth="1"/>
    <col min="7" max="7" width="18.08984375" style="345" customWidth="1"/>
    <col min="8" max="8" width="41.90625" customWidth="1"/>
    <col min="9" max="9" width="17" customWidth="1"/>
  </cols>
  <sheetData>
    <row r="1" spans="1:21">
      <c r="A1" s="3" t="s">
        <v>0</v>
      </c>
      <c r="B1" s="3" t="s">
        <v>1</v>
      </c>
      <c r="C1" s="3" t="s">
        <v>2</v>
      </c>
      <c r="D1" s="3" t="s">
        <v>3</v>
      </c>
      <c r="E1" s="3" t="s">
        <v>9</v>
      </c>
      <c r="F1" s="3" t="s">
        <v>584</v>
      </c>
      <c r="G1" s="3" t="s">
        <v>4</v>
      </c>
      <c r="H1" s="3" t="s">
        <v>7</v>
      </c>
      <c r="I1" s="11"/>
      <c r="J1" s="3">
        <v>1</v>
      </c>
      <c r="K1" s="3">
        <v>2</v>
      </c>
      <c r="L1" s="3">
        <v>3</v>
      </c>
      <c r="M1" s="3">
        <v>4</v>
      </c>
      <c r="N1" s="3">
        <v>5</v>
      </c>
      <c r="O1" s="3">
        <v>6</v>
      </c>
      <c r="P1" s="3">
        <v>7</v>
      </c>
      <c r="Q1" s="3">
        <v>8</v>
      </c>
      <c r="R1" s="3">
        <v>9</v>
      </c>
      <c r="S1" s="3">
        <v>10</v>
      </c>
      <c r="T1" s="3">
        <v>11</v>
      </c>
      <c r="U1" s="3">
        <v>12</v>
      </c>
    </row>
    <row r="2" spans="1:21">
      <c r="A2" s="18" t="s">
        <v>10</v>
      </c>
      <c r="B2" s="363" t="s">
        <v>528</v>
      </c>
      <c r="C2" s="3" t="s">
        <v>529</v>
      </c>
      <c r="D2" s="3" t="s">
        <v>530</v>
      </c>
      <c r="E2" s="11">
        <v>45765</v>
      </c>
      <c r="F2" s="11">
        <f>E2+61</f>
        <v>45826</v>
      </c>
      <c r="G2" s="110" t="s">
        <v>147</v>
      </c>
      <c r="H2" s="4"/>
      <c r="I2" s="11">
        <f t="shared" ref="I2:I35" si="0">DATE(YEAR(E2),MONTH(E2),DAY(E2)+60)</f>
        <v>45825</v>
      </c>
      <c r="J2" s="161"/>
      <c r="K2" s="162"/>
      <c r="L2" s="162"/>
      <c r="M2" s="162"/>
      <c r="N2" s="163"/>
      <c r="O2" s="163"/>
      <c r="P2" s="163"/>
      <c r="Q2" s="164"/>
      <c r="R2" s="164"/>
      <c r="S2" s="164"/>
      <c r="T2" s="161"/>
      <c r="U2" s="161"/>
    </row>
    <row r="3" spans="1:21">
      <c r="A3" s="18" t="s">
        <v>10</v>
      </c>
      <c r="B3" s="363" t="s">
        <v>531</v>
      </c>
      <c r="C3" s="3" t="s">
        <v>529</v>
      </c>
      <c r="D3" s="3" t="s">
        <v>530</v>
      </c>
      <c r="E3" s="11">
        <v>45765</v>
      </c>
      <c r="F3" s="11">
        <f t="shared" ref="F3:F34" si="1">E3+61</f>
        <v>45826</v>
      </c>
      <c r="G3" s="110" t="s">
        <v>147</v>
      </c>
      <c r="H3" s="4"/>
      <c r="I3" s="11">
        <f t="shared" si="0"/>
        <v>45825</v>
      </c>
      <c r="J3" s="161"/>
      <c r="K3" s="162"/>
      <c r="L3" s="162"/>
      <c r="M3" s="162"/>
      <c r="N3" s="163"/>
      <c r="O3" s="163"/>
      <c r="P3" s="163"/>
      <c r="Q3" s="164"/>
      <c r="R3" s="164"/>
      <c r="S3" s="164"/>
      <c r="T3" s="161"/>
      <c r="U3" s="161"/>
    </row>
    <row r="4" spans="1:21">
      <c r="A4" s="18" t="s">
        <v>10</v>
      </c>
      <c r="B4" s="363" t="s">
        <v>532</v>
      </c>
      <c r="C4" s="3" t="s">
        <v>529</v>
      </c>
      <c r="D4" s="3" t="s">
        <v>533</v>
      </c>
      <c r="E4" s="11">
        <v>45765</v>
      </c>
      <c r="F4" s="11">
        <f t="shared" si="1"/>
        <v>45826</v>
      </c>
      <c r="G4" s="110" t="s">
        <v>147</v>
      </c>
      <c r="H4" s="4"/>
      <c r="I4" s="11">
        <f t="shared" si="0"/>
        <v>45825</v>
      </c>
      <c r="J4" s="161"/>
      <c r="K4" s="162"/>
      <c r="L4" s="162"/>
      <c r="M4" s="162"/>
      <c r="N4" s="163"/>
      <c r="O4" s="163"/>
      <c r="P4" s="163"/>
      <c r="Q4" s="164"/>
      <c r="R4" s="164"/>
      <c r="S4" s="164"/>
      <c r="T4" s="161"/>
      <c r="U4" s="161"/>
    </row>
    <row r="5" spans="1:21">
      <c r="A5" s="18" t="s">
        <v>10</v>
      </c>
      <c r="B5" s="363" t="s">
        <v>534</v>
      </c>
      <c r="C5" s="3" t="s">
        <v>529</v>
      </c>
      <c r="D5" s="3" t="s">
        <v>535</v>
      </c>
      <c r="E5" s="11">
        <v>45765</v>
      </c>
      <c r="F5" s="11">
        <f t="shared" si="1"/>
        <v>45826</v>
      </c>
      <c r="G5" s="110" t="s">
        <v>147</v>
      </c>
      <c r="H5" s="4"/>
      <c r="I5" s="11">
        <f t="shared" si="0"/>
        <v>45825</v>
      </c>
      <c r="J5" s="161"/>
      <c r="K5" s="162"/>
      <c r="L5" s="162"/>
      <c r="M5" s="162"/>
      <c r="N5" s="163"/>
      <c r="O5" s="163"/>
      <c r="P5" s="163"/>
      <c r="Q5" s="164"/>
      <c r="R5" s="164"/>
      <c r="S5" s="164"/>
      <c r="T5" s="161"/>
      <c r="U5" s="161"/>
    </row>
    <row r="6" spans="1:21">
      <c r="A6" s="18" t="s">
        <v>10</v>
      </c>
      <c r="B6" s="363" t="s">
        <v>536</v>
      </c>
      <c r="C6" s="3" t="s">
        <v>529</v>
      </c>
      <c r="D6" s="3" t="s">
        <v>537</v>
      </c>
      <c r="E6" s="11">
        <v>45765</v>
      </c>
      <c r="F6" s="11">
        <f t="shared" si="1"/>
        <v>45826</v>
      </c>
      <c r="G6" s="110" t="s">
        <v>147</v>
      </c>
      <c r="H6" s="4"/>
      <c r="I6" s="11">
        <f t="shared" si="0"/>
        <v>45825</v>
      </c>
      <c r="J6" s="161"/>
      <c r="K6" s="162"/>
      <c r="L6" s="162"/>
      <c r="M6" s="162"/>
      <c r="N6" s="163"/>
      <c r="O6" s="163"/>
      <c r="P6" s="163"/>
      <c r="Q6" s="164"/>
      <c r="R6" s="164"/>
      <c r="S6" s="164"/>
      <c r="T6" s="161"/>
      <c r="U6" s="161"/>
    </row>
    <row r="7" spans="1:21">
      <c r="A7" s="18" t="s">
        <v>10</v>
      </c>
      <c r="B7" s="363" t="s">
        <v>538</v>
      </c>
      <c r="C7" s="3" t="s">
        <v>529</v>
      </c>
      <c r="D7" s="3" t="s">
        <v>533</v>
      </c>
      <c r="E7" s="11">
        <v>45765</v>
      </c>
      <c r="F7" s="11">
        <f t="shared" si="1"/>
        <v>45826</v>
      </c>
      <c r="G7" s="110" t="s">
        <v>147</v>
      </c>
      <c r="H7" s="4"/>
      <c r="I7" s="11">
        <f t="shared" si="0"/>
        <v>45825</v>
      </c>
      <c r="J7" s="161"/>
      <c r="K7" s="162"/>
      <c r="L7" s="162"/>
      <c r="M7" s="162"/>
      <c r="N7" s="163"/>
      <c r="O7" s="163"/>
      <c r="P7" s="163"/>
      <c r="Q7" s="164"/>
      <c r="R7" s="164"/>
      <c r="S7" s="164"/>
      <c r="T7" s="161"/>
      <c r="U7" s="161"/>
    </row>
    <row r="8" spans="1:21">
      <c r="A8" s="18" t="s">
        <v>10</v>
      </c>
      <c r="B8" s="363" t="s">
        <v>539</v>
      </c>
      <c r="C8" s="3" t="s">
        <v>529</v>
      </c>
      <c r="D8" s="3" t="s">
        <v>540</v>
      </c>
      <c r="E8" s="11">
        <v>45765</v>
      </c>
      <c r="F8" s="11">
        <f t="shared" si="1"/>
        <v>45826</v>
      </c>
      <c r="G8" s="110" t="s">
        <v>147</v>
      </c>
      <c r="H8" s="4"/>
      <c r="I8" s="11">
        <f t="shared" si="0"/>
        <v>45825</v>
      </c>
      <c r="J8" s="161"/>
      <c r="K8" s="162"/>
      <c r="L8" s="162"/>
      <c r="M8" s="162"/>
      <c r="N8" s="163"/>
      <c r="O8" s="163"/>
      <c r="P8" s="163"/>
      <c r="Q8" s="164"/>
      <c r="R8" s="164"/>
      <c r="S8" s="164"/>
      <c r="T8" s="161"/>
      <c r="U8" s="161"/>
    </row>
    <row r="9" spans="1:21">
      <c r="A9" s="18" t="s">
        <v>10</v>
      </c>
      <c r="B9" s="363" t="s">
        <v>541</v>
      </c>
      <c r="C9" s="3" t="s">
        <v>529</v>
      </c>
      <c r="D9" s="3" t="s">
        <v>540</v>
      </c>
      <c r="E9" s="11">
        <v>45765</v>
      </c>
      <c r="F9" s="11">
        <f t="shared" si="1"/>
        <v>45826</v>
      </c>
      <c r="G9" s="110" t="s">
        <v>147</v>
      </c>
      <c r="H9" s="4"/>
      <c r="I9" s="11">
        <f t="shared" si="0"/>
        <v>45825</v>
      </c>
      <c r="J9" s="161"/>
      <c r="K9" s="162"/>
      <c r="L9" s="162"/>
      <c r="M9" s="162"/>
      <c r="N9" s="163"/>
      <c r="O9" s="163"/>
      <c r="P9" s="163"/>
      <c r="Q9" s="164"/>
      <c r="R9" s="164"/>
      <c r="S9" s="164"/>
      <c r="T9" s="161"/>
      <c r="U9" s="161"/>
    </row>
    <row r="10" spans="1:21">
      <c r="A10" s="18" t="s">
        <v>10</v>
      </c>
      <c r="B10" s="363" t="s">
        <v>542</v>
      </c>
      <c r="C10" s="3" t="s">
        <v>529</v>
      </c>
      <c r="D10" s="3" t="s">
        <v>535</v>
      </c>
      <c r="E10" s="11">
        <v>45765</v>
      </c>
      <c r="F10" s="11">
        <f t="shared" si="1"/>
        <v>45826</v>
      </c>
      <c r="G10" s="110" t="s">
        <v>147</v>
      </c>
      <c r="H10" s="4"/>
      <c r="I10" s="11">
        <f t="shared" si="0"/>
        <v>45825</v>
      </c>
      <c r="J10" s="161"/>
      <c r="K10" s="162"/>
      <c r="L10" s="162"/>
      <c r="M10" s="162"/>
      <c r="N10" s="163"/>
      <c r="O10" s="163"/>
      <c r="P10" s="163"/>
      <c r="Q10" s="164"/>
      <c r="R10" s="164"/>
      <c r="S10" s="164"/>
      <c r="T10" s="161"/>
      <c r="U10" s="161"/>
    </row>
    <row r="11" spans="1:21">
      <c r="A11" s="18" t="s">
        <v>10</v>
      </c>
      <c r="B11" s="363" t="s">
        <v>543</v>
      </c>
      <c r="C11" s="3" t="s">
        <v>529</v>
      </c>
      <c r="D11" s="3" t="s">
        <v>535</v>
      </c>
      <c r="E11" s="11">
        <v>45765</v>
      </c>
      <c r="F11" s="11">
        <f t="shared" si="1"/>
        <v>45826</v>
      </c>
      <c r="G11" s="110" t="s">
        <v>147</v>
      </c>
      <c r="H11" s="4"/>
      <c r="I11" s="11">
        <f t="shared" si="0"/>
        <v>45825</v>
      </c>
      <c r="J11" s="161"/>
      <c r="K11" s="162"/>
      <c r="L11" s="162"/>
      <c r="M11" s="162"/>
      <c r="N11" s="163"/>
      <c r="O11" s="163"/>
      <c r="P11" s="163"/>
      <c r="Q11" s="164"/>
      <c r="R11" s="164"/>
      <c r="S11" s="164"/>
      <c r="T11" s="161"/>
      <c r="U11" s="161"/>
    </row>
    <row r="12" spans="1:21">
      <c r="A12" s="18" t="s">
        <v>10</v>
      </c>
      <c r="B12" s="363" t="s">
        <v>544</v>
      </c>
      <c r="C12" s="3" t="s">
        <v>529</v>
      </c>
      <c r="D12" s="3" t="s">
        <v>545</v>
      </c>
      <c r="E12" s="11">
        <v>45770</v>
      </c>
      <c r="F12" s="11">
        <f t="shared" si="1"/>
        <v>45831</v>
      </c>
      <c r="G12" s="110" t="s">
        <v>147</v>
      </c>
      <c r="H12" s="4"/>
      <c r="I12" s="11">
        <f t="shared" si="0"/>
        <v>45830</v>
      </c>
      <c r="J12" s="161"/>
      <c r="K12" s="162"/>
      <c r="L12" s="162"/>
      <c r="M12" s="162"/>
      <c r="N12" s="163"/>
      <c r="O12" s="163"/>
      <c r="P12" s="163"/>
      <c r="Q12" s="164"/>
      <c r="R12" s="164"/>
      <c r="S12" s="164"/>
      <c r="T12" s="161"/>
      <c r="U12" s="161"/>
    </row>
    <row r="13" spans="1:21" ht="18">
      <c r="A13" s="18" t="s">
        <v>10</v>
      </c>
      <c r="B13" s="53" t="s">
        <v>546</v>
      </c>
      <c r="C13" s="3" t="s">
        <v>529</v>
      </c>
      <c r="D13" s="3" t="s">
        <v>530</v>
      </c>
      <c r="E13" s="11">
        <v>45743</v>
      </c>
      <c r="F13" s="11">
        <f t="shared" si="1"/>
        <v>45804</v>
      </c>
      <c r="G13" s="166" t="s">
        <v>484</v>
      </c>
      <c r="H13" s="4"/>
      <c r="I13" s="11">
        <f t="shared" si="0"/>
        <v>45803</v>
      </c>
      <c r="J13" s="169"/>
      <c r="K13" s="169"/>
      <c r="L13" s="169"/>
      <c r="M13" s="162"/>
      <c r="N13" s="162"/>
      <c r="O13" s="162"/>
      <c r="P13" s="163"/>
      <c r="Q13" s="163"/>
      <c r="R13" s="163"/>
      <c r="S13" s="164"/>
      <c r="T13" s="164"/>
      <c r="U13" s="164"/>
    </row>
    <row r="14" spans="1:21" ht="18">
      <c r="A14" s="18" t="s">
        <v>10</v>
      </c>
      <c r="B14" s="53" t="s">
        <v>547</v>
      </c>
      <c r="C14" s="3" t="s">
        <v>529</v>
      </c>
      <c r="D14" s="3" t="s">
        <v>530</v>
      </c>
      <c r="E14" s="11">
        <v>45743</v>
      </c>
      <c r="F14" s="11">
        <f t="shared" si="1"/>
        <v>45804</v>
      </c>
      <c r="G14" s="166" t="s">
        <v>484</v>
      </c>
      <c r="H14" s="4"/>
      <c r="I14" s="11">
        <f t="shared" si="0"/>
        <v>45803</v>
      </c>
      <c r="J14" s="169"/>
      <c r="K14" s="169"/>
      <c r="L14" s="169"/>
      <c r="M14" s="162"/>
      <c r="N14" s="162"/>
      <c r="O14" s="162"/>
      <c r="P14" s="163"/>
      <c r="Q14" s="163"/>
      <c r="R14" s="163"/>
      <c r="S14" s="164"/>
      <c r="T14" s="164"/>
      <c r="U14" s="164"/>
    </row>
    <row r="15" spans="1:21" ht="18">
      <c r="A15" s="18" t="s">
        <v>10</v>
      </c>
      <c r="B15" s="3" t="s">
        <v>548</v>
      </c>
      <c r="C15" s="3" t="s">
        <v>529</v>
      </c>
      <c r="D15" s="3" t="s">
        <v>549</v>
      </c>
      <c r="E15" s="11">
        <v>45676</v>
      </c>
      <c r="F15" s="11">
        <f t="shared" si="1"/>
        <v>45737</v>
      </c>
      <c r="G15" s="166" t="s">
        <v>484</v>
      </c>
      <c r="H15" s="4"/>
      <c r="I15" s="11">
        <f t="shared" si="0"/>
        <v>45736</v>
      </c>
      <c r="J15" s="169"/>
      <c r="K15" s="169"/>
      <c r="L15" s="169"/>
      <c r="M15" s="162"/>
      <c r="N15" s="162"/>
      <c r="O15" s="162"/>
      <c r="P15" s="163"/>
      <c r="Q15" s="163"/>
      <c r="R15" s="163"/>
      <c r="S15" s="164"/>
      <c r="T15" s="164"/>
      <c r="U15" s="164"/>
    </row>
    <row r="16" spans="1:21" ht="18">
      <c r="A16" s="18" t="s">
        <v>10</v>
      </c>
      <c r="B16" s="3" t="s">
        <v>550</v>
      </c>
      <c r="C16" s="3" t="s">
        <v>529</v>
      </c>
      <c r="D16" s="3" t="s">
        <v>530</v>
      </c>
      <c r="E16" s="11">
        <v>45676</v>
      </c>
      <c r="F16" s="11">
        <f t="shared" si="1"/>
        <v>45737</v>
      </c>
      <c r="G16" s="166" t="s">
        <v>484</v>
      </c>
      <c r="H16" s="4"/>
      <c r="I16" s="11">
        <f t="shared" si="0"/>
        <v>45736</v>
      </c>
      <c r="J16" s="169"/>
      <c r="K16" s="169"/>
      <c r="L16" s="169"/>
      <c r="M16" s="162"/>
      <c r="N16" s="162"/>
      <c r="O16" s="162"/>
      <c r="P16" s="163"/>
      <c r="Q16" s="163"/>
      <c r="R16" s="163"/>
      <c r="S16" s="164"/>
      <c r="T16" s="164"/>
      <c r="U16" s="164"/>
    </row>
    <row r="17" spans="1:21">
      <c r="A17" s="385" t="s">
        <v>10</v>
      </c>
      <c r="B17" s="382" t="s">
        <v>551</v>
      </c>
      <c r="C17" s="3" t="s">
        <v>529</v>
      </c>
      <c r="D17" s="58" t="s">
        <v>537</v>
      </c>
      <c r="E17" s="11">
        <v>45676</v>
      </c>
      <c r="F17" s="11">
        <f t="shared" si="1"/>
        <v>45737</v>
      </c>
      <c r="G17" s="53" t="s">
        <v>147</v>
      </c>
      <c r="H17" s="4"/>
      <c r="I17" s="11">
        <f t="shared" si="0"/>
        <v>45736</v>
      </c>
      <c r="J17" s="161"/>
      <c r="K17" s="162"/>
      <c r="L17" s="162"/>
      <c r="M17" s="162"/>
      <c r="N17" s="163"/>
      <c r="O17" s="163"/>
      <c r="P17" s="163"/>
      <c r="Q17" s="164"/>
      <c r="R17" s="164"/>
      <c r="S17" s="164"/>
      <c r="T17" s="161"/>
      <c r="U17" s="161"/>
    </row>
    <row r="18" spans="1:21" ht="18">
      <c r="A18" s="386"/>
      <c r="B18" s="384"/>
      <c r="C18" s="3" t="s">
        <v>529</v>
      </c>
      <c r="D18" s="58" t="s">
        <v>537</v>
      </c>
      <c r="E18" s="11">
        <v>45676</v>
      </c>
      <c r="F18" s="11">
        <f t="shared" si="1"/>
        <v>45737</v>
      </c>
      <c r="G18" s="360" t="s">
        <v>484</v>
      </c>
      <c r="H18" s="4"/>
      <c r="I18" s="11">
        <f t="shared" si="0"/>
        <v>45736</v>
      </c>
      <c r="J18" s="169"/>
      <c r="K18" s="169"/>
      <c r="L18" s="169"/>
      <c r="M18" s="162"/>
      <c r="N18" s="162"/>
      <c r="O18" s="162"/>
      <c r="P18" s="163"/>
      <c r="Q18" s="163"/>
      <c r="R18" s="163"/>
      <c r="S18" s="164"/>
      <c r="T18" s="164"/>
      <c r="U18" s="164"/>
    </row>
    <row r="19" spans="1:21" ht="18">
      <c r="A19" s="18" t="s">
        <v>10</v>
      </c>
      <c r="B19" s="3" t="s">
        <v>552</v>
      </c>
      <c r="C19" s="3" t="s">
        <v>529</v>
      </c>
      <c r="D19" s="3" t="s">
        <v>549</v>
      </c>
      <c r="E19" s="11">
        <v>45676</v>
      </c>
      <c r="F19" s="11">
        <f t="shared" si="1"/>
        <v>45737</v>
      </c>
      <c r="G19" s="166" t="s">
        <v>484</v>
      </c>
      <c r="H19" s="4"/>
      <c r="I19" s="11">
        <f t="shared" si="0"/>
        <v>45736</v>
      </c>
      <c r="J19" s="169"/>
      <c r="K19" s="169"/>
      <c r="L19" s="169"/>
      <c r="M19" s="162"/>
      <c r="N19" s="162"/>
      <c r="O19" s="162"/>
      <c r="P19" s="163"/>
      <c r="Q19" s="163"/>
      <c r="R19" s="163"/>
      <c r="S19" s="164"/>
      <c r="T19" s="164"/>
      <c r="U19" s="164"/>
    </row>
    <row r="20" spans="1:21" ht="18">
      <c r="A20" s="18" t="s">
        <v>10</v>
      </c>
      <c r="B20" s="53" t="s">
        <v>553</v>
      </c>
      <c r="C20" s="3" t="s">
        <v>529</v>
      </c>
      <c r="D20" s="3" t="s">
        <v>530</v>
      </c>
      <c r="E20" s="11">
        <v>45743</v>
      </c>
      <c r="F20" s="11">
        <f t="shared" si="1"/>
        <v>45804</v>
      </c>
      <c r="G20" s="166" t="s">
        <v>484</v>
      </c>
      <c r="H20" s="4"/>
      <c r="I20" s="11">
        <f t="shared" si="0"/>
        <v>45803</v>
      </c>
      <c r="J20" s="169"/>
      <c r="K20" s="169"/>
      <c r="L20" s="169"/>
      <c r="M20" s="162"/>
      <c r="N20" s="162"/>
      <c r="O20" s="162"/>
      <c r="P20" s="163"/>
      <c r="Q20" s="163"/>
      <c r="R20" s="163"/>
      <c r="S20" s="164"/>
      <c r="T20" s="164"/>
      <c r="U20" s="164"/>
    </row>
    <row r="21" spans="1:21" ht="18">
      <c r="A21" s="18" t="s">
        <v>10</v>
      </c>
      <c r="B21" s="53" t="s">
        <v>554</v>
      </c>
      <c r="C21" s="3" t="s">
        <v>529</v>
      </c>
      <c r="D21" s="3" t="s">
        <v>530</v>
      </c>
      <c r="E21" s="11">
        <v>45676</v>
      </c>
      <c r="F21" s="11">
        <f t="shared" si="1"/>
        <v>45737</v>
      </c>
      <c r="G21" s="166" t="s">
        <v>484</v>
      </c>
      <c r="H21" s="4"/>
      <c r="I21" s="11">
        <f t="shared" si="0"/>
        <v>45736</v>
      </c>
      <c r="J21" s="169"/>
      <c r="K21" s="169"/>
      <c r="L21" s="169"/>
      <c r="M21" s="162"/>
      <c r="N21" s="162"/>
      <c r="O21" s="162"/>
      <c r="P21" s="163"/>
      <c r="Q21" s="163"/>
      <c r="R21" s="163"/>
      <c r="S21" s="164"/>
      <c r="T21" s="164"/>
      <c r="U21" s="164"/>
    </row>
    <row r="22" spans="1:21" ht="18">
      <c r="A22" s="18" t="s">
        <v>10</v>
      </c>
      <c r="B22" s="53" t="s">
        <v>555</v>
      </c>
      <c r="C22" s="3" t="s">
        <v>529</v>
      </c>
      <c r="D22" s="3" t="s">
        <v>549</v>
      </c>
      <c r="E22" s="11">
        <v>45701</v>
      </c>
      <c r="F22" s="11">
        <f t="shared" si="1"/>
        <v>45762</v>
      </c>
      <c r="G22" s="166" t="s">
        <v>484</v>
      </c>
      <c r="H22" s="4"/>
      <c r="I22" s="11">
        <f t="shared" si="0"/>
        <v>45761</v>
      </c>
      <c r="J22" s="169"/>
      <c r="K22" s="169"/>
      <c r="L22" s="169"/>
      <c r="M22" s="162"/>
      <c r="N22" s="162"/>
      <c r="O22" s="162"/>
      <c r="P22" s="163"/>
      <c r="Q22" s="163"/>
      <c r="R22" s="163"/>
      <c r="S22" s="164"/>
      <c r="T22" s="164"/>
      <c r="U22" s="164"/>
    </row>
    <row r="23" spans="1:21" ht="18">
      <c r="A23" s="18" t="s">
        <v>10</v>
      </c>
      <c r="B23" s="53" t="s">
        <v>556</v>
      </c>
      <c r="C23" s="3" t="s">
        <v>529</v>
      </c>
      <c r="D23" s="3" t="s">
        <v>549</v>
      </c>
      <c r="E23" s="11">
        <v>45676</v>
      </c>
      <c r="F23" s="11">
        <f t="shared" si="1"/>
        <v>45737</v>
      </c>
      <c r="G23" s="166" t="s">
        <v>484</v>
      </c>
      <c r="H23" s="4"/>
      <c r="I23" s="11">
        <f t="shared" si="0"/>
        <v>45736</v>
      </c>
      <c r="J23" s="169"/>
      <c r="K23" s="169"/>
      <c r="L23" s="169"/>
      <c r="M23" s="162"/>
      <c r="N23" s="162"/>
      <c r="O23" s="162"/>
      <c r="P23" s="163"/>
      <c r="Q23" s="163"/>
      <c r="R23" s="163"/>
      <c r="S23" s="164"/>
      <c r="T23" s="164"/>
      <c r="U23" s="164"/>
    </row>
    <row r="24" spans="1:21" ht="18">
      <c r="A24" s="18" t="s">
        <v>10</v>
      </c>
      <c r="B24" s="53" t="s">
        <v>557</v>
      </c>
      <c r="C24" s="3" t="s">
        <v>529</v>
      </c>
      <c r="D24" s="3" t="s">
        <v>530</v>
      </c>
      <c r="E24" s="11">
        <v>45743</v>
      </c>
      <c r="F24" s="11">
        <f t="shared" si="1"/>
        <v>45804</v>
      </c>
      <c r="G24" s="166" t="s">
        <v>484</v>
      </c>
      <c r="H24" s="4"/>
      <c r="I24" s="11">
        <f t="shared" si="0"/>
        <v>45803</v>
      </c>
      <c r="J24" s="169"/>
      <c r="K24" s="169"/>
      <c r="L24" s="169"/>
      <c r="M24" s="162"/>
      <c r="N24" s="162"/>
      <c r="O24" s="162"/>
      <c r="P24" s="163"/>
      <c r="Q24" s="163"/>
      <c r="R24" s="163"/>
      <c r="S24" s="164"/>
      <c r="T24" s="164"/>
      <c r="U24" s="164"/>
    </row>
    <row r="25" spans="1:21" ht="18">
      <c r="A25" s="18" t="s">
        <v>10</v>
      </c>
      <c r="B25" s="53" t="s">
        <v>558</v>
      </c>
      <c r="C25" s="3" t="s">
        <v>529</v>
      </c>
      <c r="D25" s="3" t="s">
        <v>545</v>
      </c>
      <c r="E25" s="11">
        <v>45743</v>
      </c>
      <c r="F25" s="11">
        <f t="shared" si="1"/>
        <v>45804</v>
      </c>
      <c r="G25" s="166" t="s">
        <v>484</v>
      </c>
      <c r="H25" s="4"/>
      <c r="I25" s="11">
        <f t="shared" si="0"/>
        <v>45803</v>
      </c>
      <c r="J25" s="169"/>
      <c r="K25" s="169"/>
      <c r="L25" s="169"/>
      <c r="M25" s="162"/>
      <c r="N25" s="162"/>
      <c r="O25" s="162"/>
      <c r="P25" s="163"/>
      <c r="Q25" s="163"/>
      <c r="R25" s="163"/>
      <c r="S25" s="164"/>
      <c r="T25" s="164"/>
      <c r="U25" s="164"/>
    </row>
    <row r="26" spans="1:21" ht="18">
      <c r="A26" s="18" t="s">
        <v>10</v>
      </c>
      <c r="B26" s="53" t="s">
        <v>559</v>
      </c>
      <c r="C26" s="3" t="s">
        <v>529</v>
      </c>
      <c r="D26" s="3" t="s">
        <v>545</v>
      </c>
      <c r="E26" s="11">
        <v>45743</v>
      </c>
      <c r="F26" s="11">
        <f t="shared" si="1"/>
        <v>45804</v>
      </c>
      <c r="G26" s="166" t="s">
        <v>484</v>
      </c>
      <c r="H26" s="4"/>
      <c r="I26" s="11">
        <f t="shared" si="0"/>
        <v>45803</v>
      </c>
      <c r="J26" s="169"/>
      <c r="K26" s="169"/>
      <c r="L26" s="169"/>
      <c r="M26" s="162"/>
      <c r="N26" s="162"/>
      <c r="O26" s="162"/>
      <c r="P26" s="163"/>
      <c r="Q26" s="163"/>
      <c r="R26" s="163"/>
      <c r="S26" s="164"/>
      <c r="T26" s="164"/>
      <c r="U26" s="164"/>
    </row>
    <row r="27" spans="1:21" ht="18">
      <c r="A27" s="18" t="s">
        <v>10</v>
      </c>
      <c r="B27" s="53" t="s">
        <v>560</v>
      </c>
      <c r="C27" s="3" t="s">
        <v>529</v>
      </c>
      <c r="D27" s="3" t="s">
        <v>533</v>
      </c>
      <c r="E27" s="11">
        <v>45743</v>
      </c>
      <c r="F27" s="11">
        <f t="shared" si="1"/>
        <v>45804</v>
      </c>
      <c r="G27" s="166" t="s">
        <v>484</v>
      </c>
      <c r="H27" s="4"/>
      <c r="I27" s="11">
        <f t="shared" si="0"/>
        <v>45803</v>
      </c>
      <c r="J27" s="169"/>
      <c r="K27" s="169"/>
      <c r="L27" s="169"/>
      <c r="M27" s="162"/>
      <c r="N27" s="162"/>
      <c r="O27" s="162"/>
      <c r="P27" s="163"/>
      <c r="Q27" s="163"/>
      <c r="R27" s="163"/>
      <c r="S27" s="164"/>
      <c r="T27" s="164"/>
      <c r="U27" s="164"/>
    </row>
    <row r="28" spans="1:21">
      <c r="A28" s="18" t="s">
        <v>10</v>
      </c>
      <c r="B28" s="363" t="s">
        <v>561</v>
      </c>
      <c r="C28" s="3" t="s">
        <v>529</v>
      </c>
      <c r="D28" s="3" t="s">
        <v>537</v>
      </c>
      <c r="E28" s="11">
        <v>45765</v>
      </c>
      <c r="F28" s="11">
        <f t="shared" si="1"/>
        <v>45826</v>
      </c>
      <c r="G28" s="359" t="s">
        <v>353</v>
      </c>
      <c r="H28" s="4"/>
      <c r="I28" s="11">
        <f t="shared" si="0"/>
        <v>45825</v>
      </c>
      <c r="J28" s="161"/>
      <c r="K28" s="161"/>
      <c r="L28" s="162"/>
      <c r="M28" s="162"/>
      <c r="N28" s="162"/>
      <c r="O28" s="163"/>
      <c r="P28" s="163"/>
      <c r="Q28" s="163"/>
      <c r="R28" s="164"/>
      <c r="S28" s="164"/>
      <c r="T28" s="164"/>
      <c r="U28" s="161"/>
    </row>
    <row r="29" spans="1:21">
      <c r="A29" s="18" t="s">
        <v>10</v>
      </c>
      <c r="B29" s="363" t="s">
        <v>562</v>
      </c>
      <c r="C29" s="3" t="s">
        <v>529</v>
      </c>
      <c r="D29" s="3" t="s">
        <v>549</v>
      </c>
      <c r="E29" s="11">
        <v>45765</v>
      </c>
      <c r="F29" s="11">
        <f t="shared" si="1"/>
        <v>45826</v>
      </c>
      <c r="G29" s="359" t="s">
        <v>353</v>
      </c>
      <c r="H29" s="4"/>
      <c r="I29" s="11">
        <f t="shared" si="0"/>
        <v>45825</v>
      </c>
      <c r="J29" s="161"/>
      <c r="K29" s="161"/>
      <c r="L29" s="162"/>
      <c r="M29" s="162"/>
      <c r="N29" s="162"/>
      <c r="O29" s="163"/>
      <c r="P29" s="163"/>
      <c r="Q29" s="163"/>
      <c r="R29" s="164"/>
      <c r="S29" s="164"/>
      <c r="T29" s="164"/>
      <c r="U29" s="161"/>
    </row>
    <row r="30" spans="1:21">
      <c r="A30" s="18" t="s">
        <v>10</v>
      </c>
      <c r="B30" s="110" t="s">
        <v>563</v>
      </c>
      <c r="C30" s="3" t="s">
        <v>529</v>
      </c>
      <c r="D30" s="3" t="s">
        <v>549</v>
      </c>
      <c r="E30" s="11">
        <v>45701</v>
      </c>
      <c r="F30" s="11">
        <f t="shared" si="1"/>
        <v>45762</v>
      </c>
      <c r="G30" s="359" t="s">
        <v>353</v>
      </c>
      <c r="H30" s="4"/>
      <c r="I30" s="11">
        <f t="shared" si="0"/>
        <v>45761</v>
      </c>
      <c r="J30" s="161"/>
      <c r="K30" s="161"/>
      <c r="L30" s="162"/>
      <c r="M30" s="162"/>
      <c r="N30" s="162"/>
      <c r="O30" s="163"/>
      <c r="P30" s="163"/>
      <c r="Q30" s="163"/>
      <c r="R30" s="164"/>
      <c r="S30" s="164"/>
      <c r="T30" s="164"/>
      <c r="U30" s="161"/>
    </row>
    <row r="31" spans="1:21" ht="18">
      <c r="A31" s="385" t="s">
        <v>10</v>
      </c>
      <c r="B31" s="371" t="s">
        <v>564</v>
      </c>
      <c r="C31" s="371" t="s">
        <v>529</v>
      </c>
      <c r="D31" s="3" t="s">
        <v>549</v>
      </c>
      <c r="E31" s="11">
        <v>45701</v>
      </c>
      <c r="F31" s="11">
        <f t="shared" si="1"/>
        <v>45762</v>
      </c>
      <c r="G31" s="166" t="s">
        <v>484</v>
      </c>
      <c r="H31" s="191" t="s">
        <v>565</v>
      </c>
      <c r="I31" s="11">
        <f t="shared" si="0"/>
        <v>45761</v>
      </c>
      <c r="J31" s="169"/>
      <c r="K31" s="169"/>
      <c r="L31" s="169"/>
      <c r="M31" s="162"/>
      <c r="N31" s="162"/>
      <c r="O31" s="162"/>
      <c r="P31" s="163"/>
      <c r="Q31" s="163"/>
      <c r="R31" s="163"/>
      <c r="S31" s="164"/>
      <c r="T31" s="164"/>
      <c r="U31" s="164"/>
    </row>
    <row r="32" spans="1:21" ht="18">
      <c r="A32" s="387"/>
      <c r="B32" s="372"/>
      <c r="C32" s="372"/>
      <c r="D32" s="3" t="s">
        <v>549</v>
      </c>
      <c r="E32" s="11">
        <v>45701</v>
      </c>
      <c r="F32" s="11">
        <f t="shared" si="1"/>
        <v>45762</v>
      </c>
      <c r="G32" s="166" t="s">
        <v>511</v>
      </c>
      <c r="H32" s="191" t="s">
        <v>566</v>
      </c>
      <c r="I32" s="11">
        <f t="shared" si="0"/>
        <v>45761</v>
      </c>
      <c r="J32" s="161"/>
      <c r="K32" s="162"/>
      <c r="L32" s="162"/>
      <c r="M32" s="162"/>
      <c r="N32" s="163"/>
      <c r="O32" s="163"/>
      <c r="P32" s="163"/>
      <c r="Q32" s="164"/>
      <c r="R32" s="164"/>
      <c r="S32" s="164"/>
      <c r="T32" s="161"/>
      <c r="U32" s="161"/>
    </row>
    <row r="33" spans="1:21" ht="18">
      <c r="A33" s="387"/>
      <c r="B33" s="372"/>
      <c r="C33" s="372"/>
      <c r="D33" s="3" t="s">
        <v>549</v>
      </c>
      <c r="E33" s="11">
        <v>45701</v>
      </c>
      <c r="F33" s="11">
        <f t="shared" si="1"/>
        <v>45762</v>
      </c>
      <c r="G33" s="3" t="s">
        <v>567</v>
      </c>
      <c r="H33" s="191"/>
      <c r="I33" s="11">
        <f t="shared" si="0"/>
        <v>45761</v>
      </c>
      <c r="J33" s="161"/>
      <c r="K33" s="161"/>
      <c r="L33" s="162"/>
      <c r="M33" s="162"/>
      <c r="N33" s="162"/>
      <c r="O33" s="163"/>
      <c r="P33" s="163"/>
      <c r="Q33" s="163"/>
      <c r="R33" s="164"/>
      <c r="S33" s="164"/>
      <c r="T33" s="164"/>
      <c r="U33" s="161"/>
    </row>
    <row r="34" spans="1:21" ht="18">
      <c r="A34" s="386"/>
      <c r="B34" s="373"/>
      <c r="C34" s="373"/>
      <c r="D34" s="3" t="s">
        <v>549</v>
      </c>
      <c r="E34" s="11">
        <v>45701</v>
      </c>
      <c r="F34" s="11">
        <f t="shared" si="1"/>
        <v>45762</v>
      </c>
      <c r="G34" s="3" t="s">
        <v>568</v>
      </c>
      <c r="H34" s="191" t="s">
        <v>569</v>
      </c>
      <c r="I34" s="11">
        <f t="shared" si="0"/>
        <v>45761</v>
      </c>
      <c r="J34" s="161"/>
      <c r="K34" s="161"/>
      <c r="L34" s="162"/>
      <c r="M34" s="162"/>
      <c r="N34" s="162"/>
      <c r="O34" s="163"/>
      <c r="P34" s="163"/>
      <c r="Q34" s="163"/>
      <c r="R34" s="164"/>
      <c r="S34" s="164"/>
      <c r="T34" s="164"/>
      <c r="U34" s="161"/>
    </row>
    <row r="35" spans="1:21">
      <c r="A35" s="434" t="s">
        <v>24</v>
      </c>
      <c r="B35" s="371" t="s">
        <v>570</v>
      </c>
      <c r="C35" s="371" t="s">
        <v>529</v>
      </c>
      <c r="D35" s="3" t="s">
        <v>537</v>
      </c>
      <c r="E35" s="11">
        <v>45645</v>
      </c>
      <c r="F35" s="11"/>
      <c r="G35" s="453" t="s">
        <v>571</v>
      </c>
      <c r="H35" s="4"/>
      <c r="I35" s="4">
        <f t="shared" si="0"/>
        <v>45705</v>
      </c>
      <c r="J35" s="176"/>
      <c r="K35" s="176"/>
      <c r="L35" s="176"/>
      <c r="M35" s="177"/>
      <c r="N35" s="177"/>
      <c r="O35" s="177"/>
      <c r="P35" s="178"/>
      <c r="Q35" s="178"/>
      <c r="R35" s="178"/>
      <c r="S35" s="179"/>
      <c r="T35" s="179"/>
      <c r="U35" s="179"/>
    </row>
    <row r="36" spans="1:21">
      <c r="A36" s="436"/>
      <c r="B36" s="373"/>
      <c r="C36" s="373"/>
      <c r="D36" s="3" t="s">
        <v>537</v>
      </c>
      <c r="E36" s="11">
        <v>45645</v>
      </c>
      <c r="F36" s="11"/>
      <c r="G36" s="454"/>
      <c r="H36" s="4"/>
      <c r="I36" s="4"/>
      <c r="J36" s="178"/>
      <c r="K36" s="178"/>
      <c r="L36" s="179"/>
      <c r="M36" s="179"/>
      <c r="N36" s="179"/>
      <c r="O36" s="176"/>
      <c r="P36" s="176"/>
      <c r="Q36" s="176"/>
      <c r="R36" s="177"/>
      <c r="S36" s="177"/>
      <c r="T36" s="177"/>
      <c r="U36" s="178"/>
    </row>
    <row r="37" spans="1:21">
      <c r="A37" s="434" t="s">
        <v>24</v>
      </c>
      <c r="B37" s="371" t="s">
        <v>572</v>
      </c>
      <c r="C37" s="371" t="s">
        <v>529</v>
      </c>
      <c r="D37" s="3" t="s">
        <v>549</v>
      </c>
      <c r="E37" s="11">
        <v>45645</v>
      </c>
      <c r="F37" s="11"/>
      <c r="G37" s="453" t="s">
        <v>571</v>
      </c>
      <c r="H37" s="4" t="s">
        <v>573</v>
      </c>
      <c r="I37" s="4"/>
      <c r="J37" s="176"/>
      <c r="K37" s="176"/>
      <c r="L37" s="176"/>
      <c r="M37" s="177"/>
      <c r="N37" s="177"/>
      <c r="O37" s="177"/>
      <c r="P37" s="178"/>
      <c r="Q37" s="178"/>
      <c r="R37" s="178"/>
      <c r="S37" s="179"/>
      <c r="T37" s="179"/>
      <c r="U37" s="179"/>
    </row>
    <row r="38" spans="1:21">
      <c r="A38" s="436"/>
      <c r="B38" s="373"/>
      <c r="C38" s="373"/>
      <c r="D38" s="3" t="s">
        <v>549</v>
      </c>
      <c r="E38" s="11">
        <v>45645</v>
      </c>
      <c r="F38" s="11"/>
      <c r="G38" s="454"/>
      <c r="H38" s="4"/>
      <c r="I38" s="4"/>
      <c r="J38" s="178"/>
      <c r="K38" s="178"/>
      <c r="L38" s="179"/>
      <c r="M38" s="179"/>
      <c r="N38" s="179"/>
      <c r="O38" s="176"/>
      <c r="P38" s="176"/>
      <c r="Q38" s="176"/>
      <c r="R38" s="177"/>
      <c r="S38" s="177"/>
      <c r="T38" s="177"/>
      <c r="U38" s="178"/>
    </row>
    <row r="39" spans="1:21">
      <c r="A39" s="434" t="s">
        <v>24</v>
      </c>
      <c r="B39" s="371" t="s">
        <v>574</v>
      </c>
      <c r="C39" s="371" t="s">
        <v>529</v>
      </c>
      <c r="D39" s="3" t="s">
        <v>549</v>
      </c>
      <c r="E39" s="11">
        <v>45645</v>
      </c>
      <c r="F39" s="11"/>
      <c r="G39" s="453" t="s">
        <v>571</v>
      </c>
      <c r="H39" s="4"/>
      <c r="I39" s="4"/>
      <c r="J39" s="176"/>
      <c r="K39" s="176"/>
      <c r="L39" s="176"/>
      <c r="M39" s="177"/>
      <c r="N39" s="177"/>
      <c r="O39" s="177"/>
      <c r="P39" s="178"/>
      <c r="Q39" s="178"/>
      <c r="R39" s="178"/>
      <c r="S39" s="179"/>
      <c r="T39" s="179"/>
      <c r="U39" s="179"/>
    </row>
    <row r="40" spans="1:21">
      <c r="A40" s="436"/>
      <c r="B40" s="373"/>
      <c r="C40" s="373"/>
      <c r="D40" s="3" t="s">
        <v>549</v>
      </c>
      <c r="E40" s="11">
        <v>45645</v>
      </c>
      <c r="F40" s="11"/>
      <c r="G40" s="454"/>
      <c r="H40" s="4"/>
      <c r="I40" s="4"/>
      <c r="J40" s="178"/>
      <c r="K40" s="178"/>
      <c r="L40" s="179"/>
      <c r="M40" s="179"/>
      <c r="N40" s="179"/>
      <c r="O40" s="176"/>
      <c r="P40" s="176"/>
      <c r="Q40" s="176"/>
      <c r="R40" s="177"/>
      <c r="S40" s="177"/>
      <c r="T40" s="177"/>
      <c r="U40" s="178"/>
    </row>
    <row r="41" spans="1:21">
      <c r="A41" s="19" t="s">
        <v>24</v>
      </c>
      <c r="B41" s="3" t="s">
        <v>575</v>
      </c>
      <c r="C41" s="3" t="s">
        <v>529</v>
      </c>
      <c r="D41" s="3" t="s">
        <v>549</v>
      </c>
      <c r="E41" s="11">
        <v>45645</v>
      </c>
      <c r="F41" s="11"/>
      <c r="G41" s="14" t="s">
        <v>571</v>
      </c>
      <c r="H41" s="192" t="s">
        <v>576</v>
      </c>
      <c r="I41" s="192"/>
      <c r="J41" s="176"/>
      <c r="K41" s="176"/>
      <c r="L41" s="176"/>
      <c r="M41" s="177"/>
      <c r="N41" s="177"/>
      <c r="O41" s="177"/>
      <c r="P41" s="178"/>
      <c r="Q41" s="178"/>
      <c r="R41" s="178"/>
      <c r="S41" s="179"/>
      <c r="T41" s="179"/>
      <c r="U41" s="179"/>
    </row>
    <row r="42" spans="1:21">
      <c r="A42" s="455" t="s">
        <v>37</v>
      </c>
      <c r="B42" s="371" t="s">
        <v>572</v>
      </c>
      <c r="C42" s="3" t="s">
        <v>529</v>
      </c>
      <c r="D42" s="3" t="s">
        <v>549</v>
      </c>
      <c r="E42" s="11">
        <v>45298</v>
      </c>
      <c r="F42" s="11"/>
      <c r="G42" s="3" t="s">
        <v>44</v>
      </c>
      <c r="H42" s="4" t="s">
        <v>577</v>
      </c>
      <c r="I42" s="4"/>
      <c r="J42" s="188"/>
      <c r="K42" s="188" t="s">
        <v>358</v>
      </c>
      <c r="L42" s="164"/>
      <c r="M42" s="164"/>
      <c r="N42" s="164" t="s">
        <v>358</v>
      </c>
      <c r="O42" s="189"/>
      <c r="P42" s="189"/>
      <c r="Q42" s="189" t="s">
        <v>358</v>
      </c>
      <c r="R42" s="190"/>
      <c r="S42" s="190"/>
      <c r="T42" s="190" t="s">
        <v>358</v>
      </c>
      <c r="U42" s="188"/>
    </row>
    <row r="43" spans="1:21">
      <c r="A43" s="457"/>
      <c r="B43" s="372"/>
      <c r="C43" s="3" t="s">
        <v>529</v>
      </c>
      <c r="D43" s="3" t="s">
        <v>549</v>
      </c>
      <c r="E43" s="11">
        <v>45298</v>
      </c>
      <c r="F43" s="11"/>
      <c r="G43" s="3" t="s">
        <v>248</v>
      </c>
      <c r="H43" s="4"/>
      <c r="I43" s="4"/>
      <c r="J43" s="188"/>
      <c r="K43" s="164" t="s">
        <v>359</v>
      </c>
      <c r="L43" s="164"/>
      <c r="M43" s="164"/>
      <c r="N43" s="189" t="s">
        <v>360</v>
      </c>
      <c r="O43" s="189"/>
      <c r="P43" s="189"/>
      <c r="Q43" s="190" t="s">
        <v>359</v>
      </c>
      <c r="S43" s="190"/>
      <c r="T43" s="188" t="s">
        <v>359</v>
      </c>
      <c r="U43" s="188"/>
    </row>
    <row r="44" spans="1:21">
      <c r="A44" s="457"/>
      <c r="B44" s="372"/>
      <c r="C44" s="3" t="s">
        <v>529</v>
      </c>
      <c r="D44" s="3" t="s">
        <v>549</v>
      </c>
      <c r="E44" s="11">
        <v>45298</v>
      </c>
      <c r="F44" s="11"/>
      <c r="G44" s="3" t="s">
        <v>43</v>
      </c>
      <c r="H44" s="4"/>
      <c r="I44" s="4"/>
      <c r="J44" s="188"/>
      <c r="K44" s="164" t="s">
        <v>359</v>
      </c>
      <c r="L44" s="164"/>
      <c r="M44" s="164"/>
      <c r="N44" s="189" t="s">
        <v>360</v>
      </c>
      <c r="O44" s="189"/>
      <c r="P44" s="189"/>
      <c r="Q44" s="190" t="s">
        <v>359</v>
      </c>
      <c r="S44" s="190"/>
      <c r="T44" s="188" t="s">
        <v>359</v>
      </c>
      <c r="U44" s="188"/>
    </row>
    <row r="45" spans="1:21">
      <c r="A45" s="457"/>
      <c r="B45" s="372"/>
      <c r="C45" s="3" t="s">
        <v>529</v>
      </c>
      <c r="D45" s="3" t="s">
        <v>549</v>
      </c>
      <c r="E45" s="11">
        <v>45298</v>
      </c>
      <c r="F45" s="11"/>
      <c r="G45" s="3" t="s">
        <v>45</v>
      </c>
      <c r="H45" s="4"/>
      <c r="I45" s="4"/>
      <c r="J45" s="188"/>
      <c r="K45" s="188"/>
      <c r="L45" s="164"/>
      <c r="M45" s="164"/>
      <c r="N45" s="164"/>
      <c r="O45" s="189"/>
      <c r="P45" s="189"/>
      <c r="Q45" s="189"/>
      <c r="R45" s="190"/>
      <c r="S45" s="190"/>
      <c r="T45" s="190"/>
      <c r="U45" s="188"/>
    </row>
    <row r="46" spans="1:21">
      <c r="A46" s="457"/>
      <c r="B46" s="372"/>
      <c r="C46" s="3" t="s">
        <v>529</v>
      </c>
      <c r="D46" s="3" t="s">
        <v>549</v>
      </c>
      <c r="E46" s="11">
        <v>45298</v>
      </c>
      <c r="F46" s="11"/>
      <c r="G46" s="3" t="s">
        <v>464</v>
      </c>
      <c r="H46" s="4"/>
      <c r="I46" s="4"/>
      <c r="J46" s="188"/>
      <c r="K46" s="188" t="s">
        <v>578</v>
      </c>
      <c r="L46" s="164"/>
      <c r="M46" s="164"/>
      <c r="N46" s="164" t="s">
        <v>578</v>
      </c>
      <c r="O46" s="189"/>
      <c r="P46" s="189"/>
      <c r="Q46" s="189" t="s">
        <v>578</v>
      </c>
      <c r="R46" s="190"/>
      <c r="S46" s="190"/>
      <c r="T46" s="190" t="s">
        <v>578</v>
      </c>
      <c r="U46" s="188"/>
    </row>
    <row r="47" spans="1:21">
      <c r="A47" s="456"/>
      <c r="B47" s="373"/>
      <c r="C47" s="3" t="s">
        <v>529</v>
      </c>
      <c r="D47" s="3" t="s">
        <v>549</v>
      </c>
      <c r="E47" s="11">
        <v>45298</v>
      </c>
      <c r="F47" s="11"/>
      <c r="G47" s="3" t="s">
        <v>463</v>
      </c>
      <c r="H47" s="4"/>
      <c r="I47" s="4"/>
      <c r="J47" s="188"/>
      <c r="K47" s="164">
        <v>7</v>
      </c>
      <c r="L47" s="164"/>
      <c r="M47" s="164"/>
      <c r="N47" s="189">
        <v>7</v>
      </c>
      <c r="O47" s="189"/>
      <c r="P47" s="189"/>
      <c r="Q47" s="190">
        <v>7</v>
      </c>
      <c r="R47" s="190"/>
      <c r="S47" s="190"/>
      <c r="T47" s="188">
        <v>7</v>
      </c>
      <c r="U47" s="188"/>
    </row>
    <row r="48" spans="1:21">
      <c r="A48" s="455" t="s">
        <v>37</v>
      </c>
      <c r="B48" s="371" t="s">
        <v>579</v>
      </c>
      <c r="C48" s="3" t="s">
        <v>529</v>
      </c>
      <c r="D48" s="3" t="s">
        <v>530</v>
      </c>
      <c r="E48" s="11">
        <v>45298</v>
      </c>
      <c r="F48" s="11"/>
      <c r="G48" s="3" t="s">
        <v>135</v>
      </c>
      <c r="H48" s="4"/>
      <c r="I48" s="4"/>
      <c r="J48" s="188"/>
      <c r="K48" s="188" t="s">
        <v>358</v>
      </c>
      <c r="L48" s="164"/>
      <c r="M48" s="164"/>
      <c r="N48" s="164" t="s">
        <v>358</v>
      </c>
      <c r="O48" s="189"/>
      <c r="P48" s="189"/>
      <c r="Q48" s="189" t="s">
        <v>358</v>
      </c>
      <c r="R48" s="190"/>
      <c r="S48" s="190"/>
      <c r="T48" s="190" t="s">
        <v>358</v>
      </c>
      <c r="U48" s="188"/>
    </row>
    <row r="49" spans="1:21">
      <c r="A49" s="457"/>
      <c r="B49" s="372"/>
      <c r="C49" s="3" t="s">
        <v>529</v>
      </c>
      <c r="D49" s="3" t="s">
        <v>530</v>
      </c>
      <c r="E49" s="11">
        <v>45298</v>
      </c>
      <c r="F49" s="11"/>
      <c r="G49" s="3" t="s">
        <v>47</v>
      </c>
      <c r="H49" s="4"/>
      <c r="I49" s="4"/>
      <c r="J49" s="188"/>
      <c r="K49" s="188"/>
      <c r="L49" s="164"/>
      <c r="M49" s="164"/>
      <c r="N49" s="164"/>
      <c r="O49" s="189"/>
      <c r="P49" s="189"/>
      <c r="Q49" s="189"/>
      <c r="R49" s="190"/>
      <c r="S49" s="190"/>
      <c r="T49" s="190"/>
      <c r="U49" s="188"/>
    </row>
    <row r="50" spans="1:21">
      <c r="A50" s="457"/>
      <c r="B50" s="372"/>
      <c r="C50" s="3" t="s">
        <v>529</v>
      </c>
      <c r="D50" s="3" t="s">
        <v>530</v>
      </c>
      <c r="E50" s="11">
        <v>45298</v>
      </c>
      <c r="F50" s="11"/>
      <c r="G50" s="3" t="s">
        <v>45</v>
      </c>
      <c r="H50" s="4"/>
      <c r="I50" s="4"/>
      <c r="J50" s="188"/>
      <c r="K50" s="188"/>
      <c r="L50" s="164"/>
      <c r="M50" s="164"/>
      <c r="N50" s="164"/>
      <c r="O50" s="189"/>
      <c r="P50" s="189"/>
      <c r="Q50" s="189"/>
      <c r="R50" s="190"/>
      <c r="S50" s="190"/>
      <c r="T50" s="190"/>
      <c r="U50" s="188"/>
    </row>
    <row r="51" spans="1:21">
      <c r="A51" s="457"/>
      <c r="B51" s="372"/>
      <c r="C51" s="3" t="s">
        <v>529</v>
      </c>
      <c r="D51" s="3" t="s">
        <v>530</v>
      </c>
      <c r="E51" s="11">
        <v>45298</v>
      </c>
      <c r="F51" s="11"/>
      <c r="G51" s="3" t="s">
        <v>463</v>
      </c>
      <c r="H51" s="4"/>
      <c r="I51" s="4"/>
      <c r="J51" s="188"/>
      <c r="K51" s="164">
        <v>7</v>
      </c>
      <c r="L51" s="164"/>
      <c r="M51" s="164"/>
      <c r="N51" s="189">
        <v>7</v>
      </c>
      <c r="O51" s="189"/>
      <c r="P51" s="189"/>
      <c r="Q51" s="190">
        <v>7</v>
      </c>
      <c r="R51" s="190"/>
      <c r="S51" s="190"/>
      <c r="T51" s="188">
        <v>7</v>
      </c>
      <c r="U51" s="188"/>
    </row>
    <row r="52" spans="1:21">
      <c r="A52" s="457"/>
      <c r="B52" s="372"/>
      <c r="C52" s="3" t="s">
        <v>529</v>
      </c>
      <c r="D52" s="3" t="s">
        <v>530</v>
      </c>
      <c r="E52" s="11">
        <v>45298</v>
      </c>
      <c r="F52" s="11"/>
      <c r="G52" s="3" t="s">
        <v>43</v>
      </c>
      <c r="H52" s="4"/>
      <c r="I52" s="4"/>
      <c r="J52" s="188"/>
      <c r="K52" s="164" t="s">
        <v>359</v>
      </c>
      <c r="L52" s="164"/>
      <c r="M52" s="164"/>
      <c r="N52" s="189" t="s">
        <v>360</v>
      </c>
      <c r="O52" s="189"/>
      <c r="P52" s="189"/>
      <c r="Q52" s="190" t="s">
        <v>359</v>
      </c>
      <c r="R52" s="190"/>
      <c r="S52" s="190"/>
      <c r="T52" s="188" t="s">
        <v>359</v>
      </c>
      <c r="U52" s="188"/>
    </row>
    <row r="53" spans="1:21">
      <c r="A53" s="456"/>
      <c r="B53" s="373"/>
      <c r="C53" s="3" t="s">
        <v>529</v>
      </c>
      <c r="D53" s="3" t="s">
        <v>530</v>
      </c>
      <c r="E53" s="11">
        <v>45298</v>
      </c>
      <c r="F53" s="11"/>
      <c r="G53" s="3" t="s">
        <v>464</v>
      </c>
      <c r="H53" s="4"/>
      <c r="I53" s="4"/>
      <c r="J53" s="188"/>
      <c r="K53" s="188"/>
      <c r="L53" s="164"/>
      <c r="M53" s="164"/>
      <c r="N53" s="164"/>
      <c r="O53" s="189"/>
      <c r="P53" s="189"/>
      <c r="Q53" s="189"/>
      <c r="R53" s="190"/>
      <c r="S53" s="190"/>
      <c r="T53" s="190"/>
      <c r="U53" s="188"/>
    </row>
    <row r="54" spans="1:21" ht="20.5">
      <c r="A54" s="455" t="s">
        <v>37</v>
      </c>
      <c r="B54" s="371" t="s">
        <v>580</v>
      </c>
      <c r="C54" s="3" t="s">
        <v>529</v>
      </c>
      <c r="D54" s="3" t="s">
        <v>549</v>
      </c>
      <c r="E54" s="11">
        <v>45298</v>
      </c>
      <c r="F54" s="11"/>
      <c r="G54" s="3" t="s">
        <v>45</v>
      </c>
      <c r="H54" s="353" t="s">
        <v>581</v>
      </c>
      <c r="I54" s="4"/>
      <c r="J54" s="188"/>
      <c r="K54" s="188"/>
      <c r="L54" s="164"/>
      <c r="M54" s="164"/>
      <c r="N54" s="164"/>
      <c r="O54" s="189"/>
      <c r="P54" s="189"/>
      <c r="Q54" s="189"/>
      <c r="R54" s="190"/>
      <c r="S54" s="190"/>
      <c r="T54" s="190"/>
      <c r="U54" s="188"/>
    </row>
    <row r="55" spans="1:21">
      <c r="A55" s="456"/>
      <c r="B55" s="373"/>
      <c r="C55" s="3" t="s">
        <v>529</v>
      </c>
      <c r="D55" s="3" t="s">
        <v>549</v>
      </c>
      <c r="E55" s="11">
        <v>45298</v>
      </c>
      <c r="F55" s="11"/>
      <c r="G55" s="3" t="s">
        <v>46</v>
      </c>
      <c r="H55" s="4"/>
      <c r="I55" s="4"/>
      <c r="J55" s="188"/>
      <c r="K55" s="188"/>
      <c r="L55" s="188"/>
      <c r="M55" s="188"/>
      <c r="N55" s="164"/>
      <c r="O55" s="164"/>
      <c r="P55" s="164"/>
      <c r="Q55" s="164"/>
      <c r="R55" s="164"/>
      <c r="S55" s="164"/>
      <c r="T55" s="188"/>
      <c r="U55" s="188"/>
    </row>
    <row r="56" spans="1:21" ht="20.5">
      <c r="A56" s="455" t="s">
        <v>37</v>
      </c>
      <c r="B56" s="371" t="s">
        <v>582</v>
      </c>
      <c r="C56" s="3" t="s">
        <v>529</v>
      </c>
      <c r="D56" s="3" t="s">
        <v>549</v>
      </c>
      <c r="E56" s="11">
        <v>45298</v>
      </c>
      <c r="F56" s="11"/>
      <c r="G56" s="3" t="s">
        <v>45</v>
      </c>
      <c r="H56" s="354" t="s">
        <v>583</v>
      </c>
      <c r="I56" s="4"/>
      <c r="J56" s="188"/>
      <c r="K56" s="188"/>
      <c r="L56" s="164"/>
      <c r="M56" s="164"/>
      <c r="N56" s="164"/>
      <c r="O56" s="189"/>
      <c r="P56" s="189"/>
      <c r="Q56" s="189"/>
      <c r="R56" s="190"/>
      <c r="S56" s="190"/>
      <c r="T56" s="190"/>
      <c r="U56" s="188"/>
    </row>
    <row r="57" spans="1:21">
      <c r="A57" s="456"/>
      <c r="B57" s="373"/>
      <c r="C57" s="3" t="s">
        <v>529</v>
      </c>
      <c r="D57" s="3" t="s">
        <v>549</v>
      </c>
      <c r="E57" s="11">
        <v>45298</v>
      </c>
      <c r="F57" s="11"/>
      <c r="G57" s="3" t="s">
        <v>46</v>
      </c>
      <c r="H57" s="4"/>
      <c r="I57" s="4"/>
      <c r="J57" s="188"/>
      <c r="K57" s="188"/>
      <c r="L57" s="188"/>
      <c r="M57" s="188"/>
      <c r="N57" s="164"/>
      <c r="O57" s="164"/>
      <c r="P57" s="164"/>
      <c r="Q57" s="164"/>
      <c r="R57" s="164"/>
      <c r="S57" s="164"/>
      <c r="T57" s="188"/>
      <c r="U57" s="188"/>
    </row>
    <row r="58" spans="1:21" hidden="1">
      <c r="A58" s="355" t="s">
        <v>58</v>
      </c>
      <c r="B58" s="355" t="s">
        <v>572</v>
      </c>
      <c r="C58" s="355" t="s">
        <v>529</v>
      </c>
      <c r="D58" s="355" t="s">
        <v>530</v>
      </c>
      <c r="E58" s="356">
        <v>44391</v>
      </c>
      <c r="F58" s="356">
        <v>44473</v>
      </c>
      <c r="G58" s="355" t="s">
        <v>161</v>
      </c>
      <c r="H58" s="357"/>
      <c r="I58" s="358"/>
    </row>
  </sheetData>
  <mergeCells count="25">
    <mergeCell ref="A35:A36"/>
    <mergeCell ref="B35:B36"/>
    <mergeCell ref="C35:C36"/>
    <mergeCell ref="G35:G36"/>
    <mergeCell ref="A37:A38"/>
    <mergeCell ref="B37:B38"/>
    <mergeCell ref="C37:C38"/>
    <mergeCell ref="G37:G38"/>
    <mergeCell ref="A17:A18"/>
    <mergeCell ref="B17:B18"/>
    <mergeCell ref="A31:A34"/>
    <mergeCell ref="B31:B34"/>
    <mergeCell ref="C31:C34"/>
    <mergeCell ref="A39:A40"/>
    <mergeCell ref="B39:B40"/>
    <mergeCell ref="C39:C40"/>
    <mergeCell ref="G39:G40"/>
    <mergeCell ref="A56:A57"/>
    <mergeCell ref="B56:B57"/>
    <mergeCell ref="A42:A47"/>
    <mergeCell ref="B42:B47"/>
    <mergeCell ref="A48:A53"/>
    <mergeCell ref="B48:B53"/>
    <mergeCell ref="A54:A55"/>
    <mergeCell ref="B54:B55"/>
  </mergeCells>
  <phoneticPr fontId="1" type="noConversion"/>
  <dataValidations count="3">
    <dataValidation type="list" allowBlank="1" showInputMessage="1" showErrorMessage="1" sqref="D2:D58" xr:uid="{23F7F06D-937A-45C9-A316-E37C0CCB4389}">
      <formula1>"七堵區,中山區,中正區,仁愛區,安樂區,信義區,暖暖區"</formula1>
    </dataValidation>
    <dataValidation type="list" allowBlank="1" showInputMessage="1" showErrorMessage="1" sqref="A2:A17 A19:A31 A48 A54 A56 A58 A35 A37 A39 A41:A42" xr:uid="{8DD5EE33-64B8-4415-A808-828F8445B937}">
      <formula1>"POST,HNCB,FCB,BOT,NET"</formula1>
    </dataValidation>
    <dataValidation type="list" allowBlank="1" showInputMessage="1" showErrorMessage="1" sqref="C2:C31 C39 C41:C58 C35 C37" xr:uid="{4690AFFE-BF90-47E9-882F-509C2A8029B8}">
      <formula1>"基隆市"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/>
  </sheetPr>
  <dimension ref="A1:J46"/>
  <sheetViews>
    <sheetView zoomScaleNormal="100" workbookViewId="0">
      <selection activeCell="E5" sqref="E5"/>
    </sheetView>
  </sheetViews>
  <sheetFormatPr defaultColWidth="10.81640625" defaultRowHeight="17"/>
  <cols>
    <col min="1" max="1" width="10.81640625" style="2"/>
    <col min="2" max="2" width="28.6328125" style="1" customWidth="1"/>
    <col min="3" max="4" width="12.81640625" style="1" customWidth="1"/>
    <col min="5" max="6" width="16.08984375" style="1" customWidth="1"/>
    <col min="7" max="7" width="18.453125" style="1" customWidth="1"/>
    <col min="8" max="9" width="14.08984375" style="1" customWidth="1"/>
    <col min="10" max="10" width="54.6328125" style="1" customWidth="1"/>
  </cols>
  <sheetData>
    <row r="1" spans="1:10">
      <c r="A1" s="20" t="s">
        <v>0</v>
      </c>
      <c r="B1" s="20" t="s">
        <v>1</v>
      </c>
      <c r="C1" s="20" t="s">
        <v>2</v>
      </c>
      <c r="D1" s="20" t="s">
        <v>3</v>
      </c>
      <c r="E1" s="20" t="s">
        <v>8</v>
      </c>
      <c r="F1" s="20" t="s">
        <v>9</v>
      </c>
      <c r="G1" s="20" t="s">
        <v>4</v>
      </c>
      <c r="H1" s="20" t="s">
        <v>5</v>
      </c>
      <c r="I1" s="20" t="s">
        <v>6</v>
      </c>
      <c r="J1" s="20" t="s">
        <v>7</v>
      </c>
    </row>
    <row r="2" spans="1:10">
      <c r="A2" s="385" t="s">
        <v>10</v>
      </c>
      <c r="B2" s="371" t="s">
        <v>206</v>
      </c>
      <c r="C2" s="371" t="s">
        <v>137</v>
      </c>
      <c r="D2" s="371" t="s">
        <v>221</v>
      </c>
      <c r="E2" s="11">
        <v>44354</v>
      </c>
      <c r="F2" s="11">
        <v>44427</v>
      </c>
      <c r="G2" s="3" t="s">
        <v>222</v>
      </c>
      <c r="H2" s="4"/>
      <c r="I2" s="4"/>
      <c r="J2" s="4"/>
    </row>
    <row r="3" spans="1:10">
      <c r="A3" s="386"/>
      <c r="B3" s="373"/>
      <c r="C3" s="373" t="s">
        <v>137</v>
      </c>
      <c r="D3" s="373" t="s">
        <v>221</v>
      </c>
      <c r="E3" s="11">
        <v>44354</v>
      </c>
      <c r="F3" s="11">
        <v>44427</v>
      </c>
      <c r="G3" s="3" t="s">
        <v>144</v>
      </c>
      <c r="H3" s="4"/>
      <c r="I3" s="4"/>
      <c r="J3" s="4"/>
    </row>
    <row r="4" spans="1:10">
      <c r="A4" s="18" t="s">
        <v>10</v>
      </c>
      <c r="B4" s="3" t="s">
        <v>207</v>
      </c>
      <c r="C4" s="13" t="s">
        <v>137</v>
      </c>
      <c r="D4" s="13" t="s">
        <v>221</v>
      </c>
      <c r="E4" s="11">
        <v>44309</v>
      </c>
      <c r="F4" s="11">
        <v>44427</v>
      </c>
      <c r="G4" s="3" t="s">
        <v>139</v>
      </c>
      <c r="H4" s="4"/>
      <c r="I4" s="4"/>
      <c r="J4" s="4"/>
    </row>
    <row r="5" spans="1:10">
      <c r="A5" s="18" t="s">
        <v>10</v>
      </c>
      <c r="B5" s="3" t="s">
        <v>208</v>
      </c>
      <c r="C5" s="13" t="s">
        <v>137</v>
      </c>
      <c r="D5" s="13" t="s">
        <v>221</v>
      </c>
      <c r="E5" s="11">
        <v>44309</v>
      </c>
      <c r="F5" s="11">
        <v>44414</v>
      </c>
      <c r="G5" s="3" t="s">
        <v>139</v>
      </c>
      <c r="H5" s="4"/>
      <c r="I5" s="4"/>
      <c r="J5" s="4"/>
    </row>
    <row r="6" spans="1:10">
      <c r="A6" s="18" t="s">
        <v>10</v>
      </c>
      <c r="B6" s="3" t="s">
        <v>209</v>
      </c>
      <c r="C6" s="13" t="s">
        <v>137</v>
      </c>
      <c r="D6" s="13" t="s">
        <v>221</v>
      </c>
      <c r="E6" s="11">
        <v>44309</v>
      </c>
      <c r="F6" s="11">
        <v>44427</v>
      </c>
      <c r="G6" s="3" t="s">
        <v>139</v>
      </c>
      <c r="H6" s="4"/>
      <c r="I6" s="4"/>
      <c r="J6" s="4"/>
    </row>
    <row r="7" spans="1:10">
      <c r="A7" s="18" t="s">
        <v>10</v>
      </c>
      <c r="B7" s="3" t="s">
        <v>210</v>
      </c>
      <c r="C7" s="13" t="s">
        <v>137</v>
      </c>
      <c r="D7" s="13" t="s">
        <v>221</v>
      </c>
      <c r="E7" s="11">
        <v>44309</v>
      </c>
      <c r="F7" s="11">
        <v>44414</v>
      </c>
      <c r="G7" s="3" t="s">
        <v>139</v>
      </c>
      <c r="H7" s="4"/>
      <c r="I7" s="4"/>
      <c r="J7" s="4"/>
    </row>
    <row r="8" spans="1:10">
      <c r="A8" s="18" t="s">
        <v>10</v>
      </c>
      <c r="B8" s="3" t="s">
        <v>211</v>
      </c>
      <c r="C8" s="13" t="s">
        <v>137</v>
      </c>
      <c r="D8" s="13" t="s">
        <v>221</v>
      </c>
      <c r="E8" s="11">
        <v>44354</v>
      </c>
      <c r="F8" s="11"/>
      <c r="G8" s="3" t="s">
        <v>147</v>
      </c>
      <c r="H8" s="4"/>
      <c r="I8" s="4"/>
      <c r="J8" s="4"/>
    </row>
    <row r="9" spans="1:10">
      <c r="A9" s="18" t="s">
        <v>10</v>
      </c>
      <c r="B9" s="3" t="s">
        <v>212</v>
      </c>
      <c r="C9" s="13" t="s">
        <v>137</v>
      </c>
      <c r="D9" s="13" t="s">
        <v>221</v>
      </c>
      <c r="E9" s="11">
        <v>44330</v>
      </c>
      <c r="F9" s="11">
        <v>44418</v>
      </c>
      <c r="G9" s="3" t="s">
        <v>147</v>
      </c>
      <c r="H9" s="4"/>
      <c r="I9" s="4"/>
      <c r="J9" s="4"/>
    </row>
    <row r="10" spans="1:10">
      <c r="A10" s="18" t="s">
        <v>10</v>
      </c>
      <c r="B10" s="3" t="s">
        <v>213</v>
      </c>
      <c r="C10" s="13" t="s">
        <v>137</v>
      </c>
      <c r="D10" s="13" t="s">
        <v>221</v>
      </c>
      <c r="E10" s="11">
        <v>44403</v>
      </c>
      <c r="F10" s="11"/>
      <c r="G10" s="3" t="s">
        <v>147</v>
      </c>
      <c r="H10" s="4"/>
      <c r="I10" s="4"/>
      <c r="J10" s="4"/>
    </row>
    <row r="11" spans="1:10">
      <c r="A11" s="18" t="s">
        <v>10</v>
      </c>
      <c r="B11" s="3" t="s">
        <v>214</v>
      </c>
      <c r="C11" s="13" t="s">
        <v>137</v>
      </c>
      <c r="D11" s="13" t="s">
        <v>221</v>
      </c>
      <c r="E11" s="11">
        <v>44368</v>
      </c>
      <c r="F11" s="11">
        <v>44433</v>
      </c>
      <c r="G11" s="3" t="s">
        <v>147</v>
      </c>
      <c r="H11" s="4"/>
      <c r="I11" s="4"/>
      <c r="J11" s="4"/>
    </row>
    <row r="12" spans="1:10">
      <c r="A12" s="18" t="s">
        <v>10</v>
      </c>
      <c r="B12" s="3" t="s">
        <v>215</v>
      </c>
      <c r="C12" s="13" t="s">
        <v>137</v>
      </c>
      <c r="D12" s="13" t="s">
        <v>221</v>
      </c>
      <c r="E12" s="11">
        <v>44330</v>
      </c>
      <c r="F12" s="11">
        <v>44427</v>
      </c>
      <c r="G12" s="3" t="s">
        <v>147</v>
      </c>
      <c r="H12" s="4"/>
      <c r="I12" s="4"/>
      <c r="J12" s="4"/>
    </row>
    <row r="13" spans="1:10">
      <c r="A13" s="18" t="s">
        <v>10</v>
      </c>
      <c r="B13" s="3" t="s">
        <v>216</v>
      </c>
      <c r="C13" s="13" t="s">
        <v>137</v>
      </c>
      <c r="D13" s="13" t="s">
        <v>221</v>
      </c>
      <c r="E13" s="11">
        <v>44330</v>
      </c>
      <c r="F13" s="11">
        <v>44427</v>
      </c>
      <c r="G13" s="3" t="s">
        <v>147</v>
      </c>
      <c r="H13" s="4"/>
      <c r="I13" s="4"/>
      <c r="J13" s="4"/>
    </row>
    <row r="14" spans="1:10">
      <c r="A14" s="18" t="s">
        <v>10</v>
      </c>
      <c r="B14" s="3" t="s">
        <v>217</v>
      </c>
      <c r="C14" s="13" t="s">
        <v>137</v>
      </c>
      <c r="D14" s="13" t="s">
        <v>221</v>
      </c>
      <c r="E14" s="11">
        <v>44330</v>
      </c>
      <c r="F14" s="11">
        <v>44418</v>
      </c>
      <c r="G14" s="3" t="s">
        <v>147</v>
      </c>
      <c r="H14" s="4"/>
      <c r="I14" s="4"/>
      <c r="J14" s="4"/>
    </row>
    <row r="15" spans="1:10">
      <c r="A15" s="18" t="s">
        <v>10</v>
      </c>
      <c r="B15" s="3" t="s">
        <v>218</v>
      </c>
      <c r="C15" s="13" t="s">
        <v>137</v>
      </c>
      <c r="D15" s="13" t="s">
        <v>221</v>
      </c>
      <c r="E15" s="11">
        <v>44369</v>
      </c>
      <c r="F15" s="11">
        <v>44435</v>
      </c>
      <c r="G15" s="3" t="s">
        <v>147</v>
      </c>
      <c r="H15" s="4"/>
      <c r="I15" s="4"/>
      <c r="J15" s="4"/>
    </row>
    <row r="16" spans="1:10">
      <c r="A16" s="18" t="s">
        <v>10</v>
      </c>
      <c r="B16" s="3" t="s">
        <v>219</v>
      </c>
      <c r="C16" s="13" t="s">
        <v>137</v>
      </c>
      <c r="D16" s="13" t="s">
        <v>221</v>
      </c>
      <c r="E16" s="11">
        <v>44323</v>
      </c>
      <c r="F16" s="11">
        <v>44418</v>
      </c>
      <c r="G16" s="3" t="s">
        <v>147</v>
      </c>
      <c r="H16" s="4"/>
      <c r="I16" s="4"/>
      <c r="J16" s="4"/>
    </row>
    <row r="17" spans="1:10">
      <c r="A17" s="18" t="s">
        <v>10</v>
      </c>
      <c r="B17" s="3" t="s">
        <v>220</v>
      </c>
      <c r="C17" s="13" t="s">
        <v>137</v>
      </c>
      <c r="D17" s="13" t="s">
        <v>221</v>
      </c>
      <c r="E17" s="11" t="s">
        <v>204</v>
      </c>
      <c r="F17" s="11" t="s">
        <v>204</v>
      </c>
      <c r="G17" s="3" t="s">
        <v>142</v>
      </c>
      <c r="H17" s="4"/>
      <c r="I17" s="4"/>
      <c r="J17" s="4" t="s">
        <v>236</v>
      </c>
    </row>
    <row r="18" spans="1:10">
      <c r="A18" s="19" t="s">
        <v>24</v>
      </c>
      <c r="B18" s="3" t="s">
        <v>223</v>
      </c>
      <c r="C18" s="13" t="s">
        <v>137</v>
      </c>
      <c r="D18" s="13" t="s">
        <v>221</v>
      </c>
      <c r="E18" s="11">
        <v>44312</v>
      </c>
      <c r="F18" s="11">
        <v>44446</v>
      </c>
      <c r="G18" s="3" t="s">
        <v>123</v>
      </c>
      <c r="H18" s="4"/>
      <c r="I18" s="4"/>
      <c r="J18" s="4"/>
    </row>
    <row r="19" spans="1:10">
      <c r="A19" s="19" t="s">
        <v>24</v>
      </c>
      <c r="B19" s="3" t="s">
        <v>224</v>
      </c>
      <c r="C19" s="13" t="s">
        <v>137</v>
      </c>
      <c r="D19" s="13" t="s">
        <v>221</v>
      </c>
      <c r="E19" s="11">
        <v>44313</v>
      </c>
      <c r="F19" s="11">
        <v>44446</v>
      </c>
      <c r="G19" s="3" t="s">
        <v>123</v>
      </c>
      <c r="H19" s="4"/>
      <c r="I19" s="4"/>
      <c r="J19" s="4"/>
    </row>
    <row r="20" spans="1:10">
      <c r="A20" s="19" t="s">
        <v>24</v>
      </c>
      <c r="B20" s="3" t="s">
        <v>207</v>
      </c>
      <c r="C20" s="13" t="s">
        <v>137</v>
      </c>
      <c r="D20" s="13" t="s">
        <v>221</v>
      </c>
      <c r="E20" s="11">
        <v>44313</v>
      </c>
      <c r="F20" s="11">
        <v>44446</v>
      </c>
      <c r="G20" s="3" t="s">
        <v>123</v>
      </c>
      <c r="H20" s="4"/>
      <c r="I20" s="4"/>
      <c r="J20" s="4"/>
    </row>
    <row r="21" spans="1:10">
      <c r="A21" s="434" t="s">
        <v>24</v>
      </c>
      <c r="B21" s="371" t="s">
        <v>225</v>
      </c>
      <c r="C21" s="371" t="s">
        <v>137</v>
      </c>
      <c r="D21" s="371" t="s">
        <v>221</v>
      </c>
      <c r="E21" s="11">
        <v>44313</v>
      </c>
      <c r="F21" s="11">
        <v>44446</v>
      </c>
      <c r="G21" s="3" t="s">
        <v>123</v>
      </c>
      <c r="H21" s="4"/>
      <c r="I21" s="4"/>
      <c r="J21" s="4"/>
    </row>
    <row r="22" spans="1:10">
      <c r="A22" s="436"/>
      <c r="B22" s="373" t="s">
        <v>225</v>
      </c>
      <c r="C22" s="373" t="s">
        <v>137</v>
      </c>
      <c r="D22" s="373" t="s">
        <v>221</v>
      </c>
      <c r="E22" s="11">
        <v>44313</v>
      </c>
      <c r="F22" s="11">
        <v>44446</v>
      </c>
      <c r="G22" s="3" t="s">
        <v>183</v>
      </c>
      <c r="H22" s="4"/>
      <c r="I22" s="4"/>
      <c r="J22" s="4"/>
    </row>
    <row r="23" spans="1:10">
      <c r="A23" s="388" t="s">
        <v>37</v>
      </c>
      <c r="B23" s="371" t="s">
        <v>223</v>
      </c>
      <c r="C23" s="371" t="s">
        <v>137</v>
      </c>
      <c r="D23" s="371" t="s">
        <v>221</v>
      </c>
      <c r="E23" s="3" t="s">
        <v>159</v>
      </c>
      <c r="F23" s="11">
        <v>44314</v>
      </c>
      <c r="G23" s="11">
        <v>44403</v>
      </c>
      <c r="H23" s="4"/>
      <c r="I23" s="4"/>
      <c r="J23" s="4"/>
    </row>
    <row r="24" spans="1:10">
      <c r="A24" s="389"/>
      <c r="B24" s="372" t="s">
        <v>223</v>
      </c>
      <c r="C24" s="372" t="s">
        <v>137</v>
      </c>
      <c r="D24" s="372" t="s">
        <v>221</v>
      </c>
      <c r="E24" s="3" t="s">
        <v>157</v>
      </c>
      <c r="F24" s="11">
        <v>44314</v>
      </c>
      <c r="G24" s="11">
        <v>44403</v>
      </c>
      <c r="H24" s="4"/>
      <c r="I24" s="4"/>
      <c r="J24" s="4"/>
    </row>
    <row r="25" spans="1:10">
      <c r="A25" s="389"/>
      <c r="B25" s="372" t="s">
        <v>223</v>
      </c>
      <c r="C25" s="372" t="s">
        <v>137</v>
      </c>
      <c r="D25" s="372" t="s">
        <v>221</v>
      </c>
      <c r="E25" s="3" t="s">
        <v>158</v>
      </c>
      <c r="F25" s="11">
        <v>44314</v>
      </c>
      <c r="G25" s="11">
        <v>44403</v>
      </c>
      <c r="H25" s="4"/>
      <c r="I25" s="4"/>
      <c r="J25" s="4"/>
    </row>
    <row r="26" spans="1:10">
      <c r="A26" s="390"/>
      <c r="B26" s="373" t="s">
        <v>223</v>
      </c>
      <c r="C26" s="373" t="s">
        <v>137</v>
      </c>
      <c r="D26" s="373" t="s">
        <v>221</v>
      </c>
      <c r="E26" s="3" t="s">
        <v>135</v>
      </c>
      <c r="F26" s="11">
        <v>44314</v>
      </c>
      <c r="G26" s="11">
        <v>44403</v>
      </c>
      <c r="H26" s="4"/>
      <c r="I26" s="4"/>
      <c r="J26" s="4"/>
    </row>
    <row r="27" spans="1:10">
      <c r="A27" s="388" t="s">
        <v>37</v>
      </c>
      <c r="B27" s="371" t="s">
        <v>207</v>
      </c>
      <c r="C27" s="371" t="s">
        <v>137</v>
      </c>
      <c r="D27" s="371" t="s">
        <v>221</v>
      </c>
      <c r="E27" s="3" t="s">
        <v>159</v>
      </c>
      <c r="F27" s="11">
        <v>44314</v>
      </c>
      <c r="G27" s="11">
        <v>44404</v>
      </c>
      <c r="H27" s="4"/>
      <c r="I27" s="4"/>
      <c r="J27" s="4"/>
    </row>
    <row r="28" spans="1:10">
      <c r="A28" s="389"/>
      <c r="B28" s="372" t="s">
        <v>207</v>
      </c>
      <c r="C28" s="372" t="s">
        <v>137</v>
      </c>
      <c r="D28" s="372" t="s">
        <v>221</v>
      </c>
      <c r="E28" s="3" t="s">
        <v>157</v>
      </c>
      <c r="F28" s="11">
        <v>44314</v>
      </c>
      <c r="G28" s="11">
        <v>44404</v>
      </c>
      <c r="H28" s="4"/>
      <c r="I28" s="4"/>
      <c r="J28" s="4"/>
    </row>
    <row r="29" spans="1:10">
      <c r="A29" s="390"/>
      <c r="B29" s="373" t="s">
        <v>207</v>
      </c>
      <c r="C29" s="373" t="s">
        <v>137</v>
      </c>
      <c r="D29" s="373" t="s">
        <v>221</v>
      </c>
      <c r="E29" s="3" t="s">
        <v>158</v>
      </c>
      <c r="F29" s="11">
        <v>44314</v>
      </c>
      <c r="G29" s="11">
        <v>44404</v>
      </c>
      <c r="H29" s="4"/>
      <c r="I29" s="4"/>
      <c r="J29" s="4"/>
    </row>
    <row r="30" spans="1:10">
      <c r="A30" s="388" t="s">
        <v>37</v>
      </c>
      <c r="B30" s="371" t="s">
        <v>226</v>
      </c>
      <c r="C30" s="371" t="s">
        <v>137</v>
      </c>
      <c r="D30" s="371" t="s">
        <v>221</v>
      </c>
      <c r="E30" s="3" t="s">
        <v>157</v>
      </c>
      <c r="F30" s="11">
        <v>44315</v>
      </c>
      <c r="G30" s="11">
        <v>44405</v>
      </c>
      <c r="H30" s="4"/>
      <c r="I30" s="4"/>
      <c r="J30" s="4"/>
    </row>
    <row r="31" spans="1:10">
      <c r="A31" s="389"/>
      <c r="B31" s="372" t="s">
        <v>226</v>
      </c>
      <c r="C31" s="372" t="s">
        <v>137</v>
      </c>
      <c r="D31" s="372" t="s">
        <v>221</v>
      </c>
      <c r="E31" s="3" t="s">
        <v>158</v>
      </c>
      <c r="F31" s="11">
        <v>44315</v>
      </c>
      <c r="G31" s="11">
        <v>44405</v>
      </c>
      <c r="H31" s="4"/>
      <c r="I31" s="4"/>
      <c r="J31" s="4"/>
    </row>
    <row r="32" spans="1:10">
      <c r="A32" s="389"/>
      <c r="B32" s="372" t="s">
        <v>226</v>
      </c>
      <c r="C32" s="372" t="s">
        <v>137</v>
      </c>
      <c r="D32" s="372" t="s">
        <v>221</v>
      </c>
      <c r="E32" s="3" t="s">
        <v>135</v>
      </c>
      <c r="F32" s="11">
        <v>44315</v>
      </c>
      <c r="G32" s="11">
        <v>44405</v>
      </c>
      <c r="H32" s="4"/>
      <c r="I32" s="4"/>
      <c r="J32" s="4"/>
    </row>
    <row r="33" spans="1:10">
      <c r="A33" s="390"/>
      <c r="B33" s="373" t="s">
        <v>226</v>
      </c>
      <c r="C33" s="373" t="s">
        <v>137</v>
      </c>
      <c r="D33" s="373" t="s">
        <v>221</v>
      </c>
      <c r="E33" s="3" t="s">
        <v>159</v>
      </c>
      <c r="F33" s="11"/>
      <c r="G33" s="11">
        <v>44405</v>
      </c>
      <c r="H33" s="4"/>
      <c r="I33" s="4"/>
      <c r="J33" s="4"/>
    </row>
    <row r="34" spans="1:10">
      <c r="A34" s="388" t="s">
        <v>37</v>
      </c>
      <c r="B34" s="371" t="s">
        <v>227</v>
      </c>
      <c r="C34" s="371" t="s">
        <v>137</v>
      </c>
      <c r="D34" s="371" t="s">
        <v>221</v>
      </c>
      <c r="E34" s="3" t="s">
        <v>159</v>
      </c>
      <c r="F34" s="11">
        <v>44315</v>
      </c>
      <c r="G34" s="11">
        <v>44403</v>
      </c>
      <c r="H34" s="4"/>
      <c r="I34" s="4"/>
      <c r="J34" s="4"/>
    </row>
    <row r="35" spans="1:10">
      <c r="A35" s="389"/>
      <c r="B35" s="372" t="s">
        <v>227</v>
      </c>
      <c r="C35" s="372" t="s">
        <v>137</v>
      </c>
      <c r="D35" s="372" t="s">
        <v>221</v>
      </c>
      <c r="E35" s="3" t="s">
        <v>157</v>
      </c>
      <c r="F35" s="11">
        <v>44315</v>
      </c>
      <c r="G35" s="11">
        <v>44403</v>
      </c>
      <c r="H35" s="4"/>
      <c r="I35" s="4"/>
      <c r="J35" s="4"/>
    </row>
    <row r="36" spans="1:10">
      <c r="A36" s="389"/>
      <c r="B36" s="372" t="s">
        <v>227</v>
      </c>
      <c r="C36" s="372" t="s">
        <v>137</v>
      </c>
      <c r="D36" s="372" t="s">
        <v>221</v>
      </c>
      <c r="E36" s="3" t="s">
        <v>158</v>
      </c>
      <c r="F36" s="11">
        <v>44315</v>
      </c>
      <c r="G36" s="11">
        <v>44403</v>
      </c>
      <c r="H36" s="4"/>
      <c r="I36" s="4"/>
      <c r="J36" s="4"/>
    </row>
    <row r="37" spans="1:10">
      <c r="A37" s="390"/>
      <c r="B37" s="373" t="s">
        <v>227</v>
      </c>
      <c r="C37" s="373" t="s">
        <v>137</v>
      </c>
      <c r="D37" s="373" t="s">
        <v>221</v>
      </c>
      <c r="E37" s="3" t="s">
        <v>135</v>
      </c>
      <c r="F37" s="11">
        <v>44315</v>
      </c>
      <c r="G37" s="11">
        <v>44403</v>
      </c>
      <c r="H37" s="4"/>
      <c r="I37" s="4"/>
      <c r="J37" s="4"/>
    </row>
    <row r="38" spans="1:10">
      <c r="A38" s="388" t="s">
        <v>37</v>
      </c>
      <c r="B38" s="371" t="s">
        <v>228</v>
      </c>
      <c r="C38" s="371" t="s">
        <v>137</v>
      </c>
      <c r="D38" s="371" t="s">
        <v>221</v>
      </c>
      <c r="E38" s="3" t="s">
        <v>231</v>
      </c>
      <c r="F38" s="11" t="s">
        <v>204</v>
      </c>
      <c r="G38" s="11" t="s">
        <v>204</v>
      </c>
      <c r="H38" s="4"/>
      <c r="I38" s="4"/>
      <c r="J38" s="4"/>
    </row>
    <row r="39" spans="1:10">
      <c r="A39" s="389"/>
      <c r="B39" s="372" t="s">
        <v>228</v>
      </c>
      <c r="C39" s="372" t="s">
        <v>137</v>
      </c>
      <c r="D39" s="372" t="s">
        <v>221</v>
      </c>
      <c r="E39" s="3" t="s">
        <v>231</v>
      </c>
      <c r="F39" s="11" t="s">
        <v>204</v>
      </c>
      <c r="G39" s="11" t="s">
        <v>204</v>
      </c>
      <c r="H39" s="4"/>
      <c r="I39" s="4"/>
      <c r="J39" s="4"/>
    </row>
    <row r="40" spans="1:10">
      <c r="A40" s="390"/>
      <c r="B40" s="373" t="s">
        <v>228</v>
      </c>
      <c r="C40" s="373" t="s">
        <v>137</v>
      </c>
      <c r="D40" s="373" t="s">
        <v>221</v>
      </c>
      <c r="E40" s="3" t="s">
        <v>232</v>
      </c>
      <c r="F40" s="11" t="s">
        <v>204</v>
      </c>
      <c r="G40" s="11" t="s">
        <v>204</v>
      </c>
      <c r="H40" s="4"/>
      <c r="I40" s="4"/>
      <c r="J40" s="4"/>
    </row>
    <row r="41" spans="1:10">
      <c r="A41" s="21" t="s">
        <v>37</v>
      </c>
      <c r="B41" s="3" t="s">
        <v>229</v>
      </c>
      <c r="C41" s="13" t="s">
        <v>137</v>
      </c>
      <c r="D41" s="13" t="s">
        <v>221</v>
      </c>
      <c r="E41" s="3" t="s">
        <v>233</v>
      </c>
      <c r="F41" s="11" t="s">
        <v>204</v>
      </c>
      <c r="G41" s="11" t="s">
        <v>204</v>
      </c>
      <c r="H41" s="4"/>
      <c r="I41" s="4"/>
      <c r="J41" s="4"/>
    </row>
    <row r="42" spans="1:10">
      <c r="A42" s="21" t="s">
        <v>37</v>
      </c>
      <c r="B42" s="3" t="s">
        <v>230</v>
      </c>
      <c r="C42" s="13" t="s">
        <v>137</v>
      </c>
      <c r="D42" s="13" t="s">
        <v>221</v>
      </c>
      <c r="E42" s="3" t="s">
        <v>234</v>
      </c>
      <c r="F42" s="11" t="s">
        <v>204</v>
      </c>
      <c r="G42" s="11" t="s">
        <v>204</v>
      </c>
      <c r="H42" s="4"/>
      <c r="I42" s="4"/>
      <c r="J42" s="4"/>
    </row>
    <row r="43" spans="1:10">
      <c r="A43" s="24" t="s">
        <v>58</v>
      </c>
      <c r="B43" s="3" t="s">
        <v>207</v>
      </c>
      <c r="C43" s="13" t="s">
        <v>137</v>
      </c>
      <c r="D43" s="13" t="s">
        <v>221</v>
      </c>
      <c r="E43" s="3" t="s">
        <v>161</v>
      </c>
      <c r="F43" s="11">
        <v>44341</v>
      </c>
      <c r="G43" s="11">
        <v>44435</v>
      </c>
      <c r="H43" s="4"/>
      <c r="I43" s="4"/>
      <c r="J43" s="4"/>
    </row>
    <row r="44" spans="1:10">
      <c r="A44" s="24" t="s">
        <v>58</v>
      </c>
      <c r="B44" s="3" t="s">
        <v>223</v>
      </c>
      <c r="C44" s="13" t="s">
        <v>137</v>
      </c>
      <c r="D44" s="13" t="s">
        <v>221</v>
      </c>
      <c r="E44" s="3" t="s">
        <v>161</v>
      </c>
      <c r="F44" s="11">
        <v>44341</v>
      </c>
      <c r="G44" s="11">
        <v>44435</v>
      </c>
      <c r="H44" s="4"/>
      <c r="I44" s="4"/>
      <c r="J44" s="4"/>
    </row>
    <row r="45" spans="1:10">
      <c r="A45" s="24" t="s">
        <v>58</v>
      </c>
      <c r="B45" s="3" t="s">
        <v>227</v>
      </c>
      <c r="C45" s="13" t="s">
        <v>137</v>
      </c>
      <c r="D45" s="13" t="s">
        <v>221</v>
      </c>
      <c r="E45" s="3" t="s">
        <v>161</v>
      </c>
      <c r="F45" s="11">
        <v>44330</v>
      </c>
      <c r="G45" s="11">
        <v>44435</v>
      </c>
      <c r="H45" s="4"/>
      <c r="I45" s="4"/>
      <c r="J45" s="4"/>
    </row>
    <row r="46" spans="1:10">
      <c r="A46" s="22" t="s">
        <v>205</v>
      </c>
      <c r="B46" s="3" t="s">
        <v>207</v>
      </c>
      <c r="C46" s="13" t="s">
        <v>137</v>
      </c>
      <c r="D46" s="13" t="s">
        <v>221</v>
      </c>
      <c r="E46" s="3" t="s">
        <v>235</v>
      </c>
      <c r="F46" s="11">
        <v>44313</v>
      </c>
      <c r="G46" s="11">
        <v>44417</v>
      </c>
      <c r="H46" s="4"/>
      <c r="I46" s="4"/>
      <c r="J46" s="4"/>
    </row>
  </sheetData>
  <autoFilter ref="A1:J1" xr:uid="{00000000-0001-0000-0200-000000000000}"/>
  <mergeCells count="28">
    <mergeCell ref="D30:D33"/>
    <mergeCell ref="B21:B22"/>
    <mergeCell ref="C21:C22"/>
    <mergeCell ref="D21:D22"/>
    <mergeCell ref="B23:B26"/>
    <mergeCell ref="D2:D3"/>
    <mergeCell ref="D23:D26"/>
    <mergeCell ref="B27:B29"/>
    <mergeCell ref="C27:C29"/>
    <mergeCell ref="D27:D29"/>
    <mergeCell ref="A34:A37"/>
    <mergeCell ref="A38:A40"/>
    <mergeCell ref="B38:B40"/>
    <mergeCell ref="C38:C40"/>
    <mergeCell ref="D38:D40"/>
    <mergeCell ref="B34:B37"/>
    <mergeCell ref="C34:C37"/>
    <mergeCell ref="D34:D37"/>
    <mergeCell ref="A27:A29"/>
    <mergeCell ref="A30:A33"/>
    <mergeCell ref="C23:C26"/>
    <mergeCell ref="B2:B3"/>
    <mergeCell ref="A2:A3"/>
    <mergeCell ref="A21:A22"/>
    <mergeCell ref="A23:A26"/>
    <mergeCell ref="C2:C3"/>
    <mergeCell ref="B30:B33"/>
    <mergeCell ref="C30:C33"/>
  </mergeCells>
  <phoneticPr fontId="1" type="noConversion"/>
  <conditionalFormatting sqref="E2:F16">
    <cfRule type="expression" dxfId="13" priority="1">
      <formula>(E2-D2)&lt;61</formula>
    </cfRule>
  </conditionalFormatting>
  <dataValidations count="1">
    <dataValidation type="list" allowBlank="1" showInputMessage="1" showErrorMessage="1" sqref="A2 A4:A21 A23 A27 A30 A34 A38 A41:A100" xr:uid="{00000000-0002-0000-0200-000000000000}">
      <formula1>"POST,HNCB,FCB,BOT,SKI,NET"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/>
  </sheetPr>
  <dimension ref="A1:J46"/>
  <sheetViews>
    <sheetView topLeftCell="A19" zoomScale="150" workbookViewId="0">
      <selection activeCell="E41" sqref="E41"/>
    </sheetView>
  </sheetViews>
  <sheetFormatPr defaultColWidth="10.81640625" defaultRowHeight="17"/>
  <cols>
    <col min="1" max="1" width="10.81640625" style="2"/>
    <col min="2" max="2" width="15" style="1" customWidth="1"/>
    <col min="3" max="4" width="12.81640625" style="1" customWidth="1"/>
    <col min="5" max="6" width="16.08984375" style="1" customWidth="1"/>
    <col min="7" max="7" width="18.453125" style="1" customWidth="1"/>
    <col min="8" max="9" width="14.08984375" style="1" customWidth="1"/>
    <col min="10" max="10" width="32.6328125" style="1" customWidth="1"/>
  </cols>
  <sheetData>
    <row r="1" spans="1:10">
      <c r="A1" s="20" t="s">
        <v>0</v>
      </c>
      <c r="B1" s="20" t="s">
        <v>1</v>
      </c>
      <c r="C1" s="20" t="s">
        <v>2</v>
      </c>
      <c r="D1" s="20" t="s">
        <v>3</v>
      </c>
      <c r="E1" s="20" t="s">
        <v>8</v>
      </c>
      <c r="F1" s="20" t="s">
        <v>9</v>
      </c>
      <c r="G1" s="20" t="s">
        <v>4</v>
      </c>
      <c r="H1" s="20" t="s">
        <v>5</v>
      </c>
      <c r="I1" s="20" t="s">
        <v>6</v>
      </c>
      <c r="J1" s="20" t="s">
        <v>7</v>
      </c>
    </row>
    <row r="2" spans="1:10">
      <c r="A2" s="18" t="s">
        <v>10</v>
      </c>
      <c r="B2" s="3" t="s">
        <v>97</v>
      </c>
      <c r="C2" s="3" t="s">
        <v>63</v>
      </c>
      <c r="D2" s="3" t="s">
        <v>98</v>
      </c>
      <c r="E2" s="11">
        <v>44277</v>
      </c>
      <c r="F2" s="28">
        <v>44487</v>
      </c>
      <c r="G2" s="3" t="s">
        <v>22</v>
      </c>
      <c r="H2" s="9">
        <v>42795</v>
      </c>
      <c r="I2" s="9">
        <v>44620</v>
      </c>
      <c r="J2" s="4"/>
    </row>
    <row r="3" spans="1:10">
      <c r="A3" s="18" t="s">
        <v>10</v>
      </c>
      <c r="B3" s="3" t="s">
        <v>99</v>
      </c>
      <c r="C3" s="3" t="s">
        <v>63</v>
      </c>
      <c r="D3" s="3" t="s">
        <v>98</v>
      </c>
      <c r="E3" s="32">
        <v>44336</v>
      </c>
      <c r="F3" s="32"/>
      <c r="G3" s="3" t="s">
        <v>22</v>
      </c>
      <c r="H3" s="9">
        <v>42795</v>
      </c>
      <c r="I3" s="9">
        <v>44620</v>
      </c>
      <c r="J3" s="4"/>
    </row>
    <row r="4" spans="1:10">
      <c r="A4" s="18" t="s">
        <v>10</v>
      </c>
      <c r="B4" s="3" t="s">
        <v>100</v>
      </c>
      <c r="C4" s="3" t="s">
        <v>63</v>
      </c>
      <c r="D4" s="3" t="s">
        <v>98</v>
      </c>
      <c r="E4" s="11">
        <v>44270</v>
      </c>
      <c r="F4" s="28">
        <v>44434</v>
      </c>
      <c r="G4" s="3" t="s">
        <v>22</v>
      </c>
      <c r="H4" s="9">
        <v>42795</v>
      </c>
      <c r="I4" s="9">
        <v>44620</v>
      </c>
      <c r="J4" s="4"/>
    </row>
    <row r="5" spans="1:10">
      <c r="A5" s="18" t="s">
        <v>10</v>
      </c>
      <c r="B5" s="3" t="s">
        <v>101</v>
      </c>
      <c r="C5" s="3" t="s">
        <v>63</v>
      </c>
      <c r="D5" s="3" t="s">
        <v>98</v>
      </c>
      <c r="E5" s="11">
        <v>44386</v>
      </c>
      <c r="F5" s="28">
        <v>44461</v>
      </c>
      <c r="G5" s="3" t="s">
        <v>22</v>
      </c>
      <c r="H5" s="9">
        <v>42795</v>
      </c>
      <c r="I5" s="9">
        <v>44620</v>
      </c>
      <c r="J5" s="4"/>
    </row>
    <row r="6" spans="1:10">
      <c r="A6" s="18" t="s">
        <v>10</v>
      </c>
      <c r="B6" s="3" t="s">
        <v>102</v>
      </c>
      <c r="C6" s="3" t="s">
        <v>63</v>
      </c>
      <c r="D6" s="3" t="s">
        <v>98</v>
      </c>
      <c r="E6" s="32">
        <v>44336</v>
      </c>
      <c r="F6" s="32"/>
      <c r="G6" s="3" t="s">
        <v>22</v>
      </c>
      <c r="H6" s="9">
        <v>42795</v>
      </c>
      <c r="I6" s="9">
        <v>44620</v>
      </c>
      <c r="J6" s="4"/>
    </row>
    <row r="7" spans="1:10">
      <c r="A7" s="18" t="s">
        <v>10</v>
      </c>
      <c r="B7" s="3" t="s">
        <v>103</v>
      </c>
      <c r="C7" s="3" t="s">
        <v>63</v>
      </c>
      <c r="D7" s="3" t="s">
        <v>98</v>
      </c>
      <c r="E7" s="11">
        <v>44263</v>
      </c>
      <c r="F7" s="28">
        <v>44487</v>
      </c>
      <c r="G7" s="3" t="s">
        <v>22</v>
      </c>
      <c r="H7" s="9">
        <v>42795</v>
      </c>
      <c r="I7" s="9">
        <v>44620</v>
      </c>
      <c r="J7" s="4"/>
    </row>
    <row r="8" spans="1:10">
      <c r="A8" s="18" t="s">
        <v>10</v>
      </c>
      <c r="B8" s="3" t="s">
        <v>104</v>
      </c>
      <c r="C8" s="3" t="s">
        <v>63</v>
      </c>
      <c r="D8" s="3" t="s">
        <v>98</v>
      </c>
      <c r="E8" s="11">
        <v>44284</v>
      </c>
      <c r="F8" s="28">
        <v>44487</v>
      </c>
      <c r="G8" s="3" t="s">
        <v>22</v>
      </c>
      <c r="H8" s="9">
        <v>42795</v>
      </c>
      <c r="I8" s="9">
        <v>44620</v>
      </c>
      <c r="J8" s="4"/>
    </row>
    <row r="9" spans="1:10">
      <c r="A9" s="18" t="s">
        <v>10</v>
      </c>
      <c r="B9" s="3" t="s">
        <v>105</v>
      </c>
      <c r="C9" s="3" t="s">
        <v>63</v>
      </c>
      <c r="D9" s="3" t="s">
        <v>98</v>
      </c>
      <c r="E9" s="11">
        <v>44354</v>
      </c>
      <c r="F9" s="28">
        <v>44442</v>
      </c>
      <c r="G9" s="3" t="s">
        <v>21</v>
      </c>
      <c r="H9" s="9">
        <v>43009</v>
      </c>
      <c r="I9" s="9">
        <v>44834</v>
      </c>
      <c r="J9" s="4"/>
    </row>
    <row r="10" spans="1:10">
      <c r="A10" s="18" t="s">
        <v>10</v>
      </c>
      <c r="B10" s="3" t="s">
        <v>106</v>
      </c>
      <c r="C10" s="3" t="s">
        <v>63</v>
      </c>
      <c r="D10" s="3" t="s">
        <v>98</v>
      </c>
      <c r="E10" s="11">
        <v>44354</v>
      </c>
      <c r="F10" s="28">
        <v>44442</v>
      </c>
      <c r="G10" s="3" t="s">
        <v>21</v>
      </c>
      <c r="H10" s="9">
        <v>43009</v>
      </c>
      <c r="I10" s="9">
        <v>44834</v>
      </c>
      <c r="J10" s="4"/>
    </row>
    <row r="11" spans="1:10">
      <c r="A11" s="18" t="s">
        <v>10</v>
      </c>
      <c r="B11" s="3" t="s">
        <v>107</v>
      </c>
      <c r="C11" s="3" t="s">
        <v>63</v>
      </c>
      <c r="D11" s="3" t="s">
        <v>98</v>
      </c>
      <c r="E11" s="11">
        <v>44293</v>
      </c>
      <c r="F11" s="28">
        <v>44442</v>
      </c>
      <c r="G11" s="3" t="s">
        <v>21</v>
      </c>
      <c r="H11" s="9">
        <v>43009</v>
      </c>
      <c r="I11" s="9">
        <v>44834</v>
      </c>
      <c r="J11" s="4" t="s">
        <v>108</v>
      </c>
    </row>
    <row r="12" spans="1:10">
      <c r="A12" s="18" t="s">
        <v>10</v>
      </c>
      <c r="B12" s="3" t="s">
        <v>109</v>
      </c>
      <c r="C12" s="3" t="s">
        <v>63</v>
      </c>
      <c r="D12" s="3" t="s">
        <v>98</v>
      </c>
      <c r="E12" s="11">
        <v>44354</v>
      </c>
      <c r="F12" s="28">
        <v>44442</v>
      </c>
      <c r="G12" s="3" t="s">
        <v>21</v>
      </c>
      <c r="H12" s="9">
        <v>43009</v>
      </c>
      <c r="I12" s="9">
        <v>44834</v>
      </c>
      <c r="J12" s="4"/>
    </row>
    <row r="13" spans="1:10">
      <c r="A13" s="18" t="s">
        <v>10</v>
      </c>
      <c r="B13" s="3" t="s">
        <v>110</v>
      </c>
      <c r="C13" s="3" t="s">
        <v>63</v>
      </c>
      <c r="D13" s="3" t="s">
        <v>98</v>
      </c>
      <c r="E13" s="32">
        <v>44354</v>
      </c>
      <c r="F13" s="32"/>
      <c r="G13" s="3" t="s">
        <v>21</v>
      </c>
      <c r="H13" s="9">
        <v>43009</v>
      </c>
      <c r="I13" s="9">
        <v>44834</v>
      </c>
      <c r="J13" s="4"/>
    </row>
    <row r="14" spans="1:10">
      <c r="A14" s="18" t="s">
        <v>10</v>
      </c>
      <c r="B14" s="3" t="s">
        <v>111</v>
      </c>
      <c r="C14" s="3" t="s">
        <v>63</v>
      </c>
      <c r="D14" s="3" t="s">
        <v>98</v>
      </c>
      <c r="E14" s="11">
        <v>44363</v>
      </c>
      <c r="F14" s="28">
        <v>44441</v>
      </c>
      <c r="G14" s="3" t="s">
        <v>21</v>
      </c>
      <c r="H14" s="9">
        <v>43009</v>
      </c>
      <c r="I14" s="9">
        <v>44834</v>
      </c>
      <c r="J14" s="4"/>
    </row>
    <row r="15" spans="1:10">
      <c r="A15" s="18" t="s">
        <v>10</v>
      </c>
      <c r="B15" s="3" t="s">
        <v>112</v>
      </c>
      <c r="C15" s="3" t="s">
        <v>63</v>
      </c>
      <c r="D15" s="3" t="s">
        <v>98</v>
      </c>
      <c r="E15" s="11">
        <v>44354</v>
      </c>
      <c r="F15" s="28">
        <v>44442</v>
      </c>
      <c r="G15" s="3" t="s">
        <v>21</v>
      </c>
      <c r="H15" s="9">
        <v>43009</v>
      </c>
      <c r="I15" s="9">
        <v>44834</v>
      </c>
      <c r="J15" s="4"/>
    </row>
    <row r="16" spans="1:10">
      <c r="A16" s="18" t="s">
        <v>10</v>
      </c>
      <c r="B16" s="3" t="s">
        <v>113</v>
      </c>
      <c r="C16" s="3" t="s">
        <v>63</v>
      </c>
      <c r="D16" s="3" t="s">
        <v>98</v>
      </c>
      <c r="E16" s="11">
        <v>44354</v>
      </c>
      <c r="F16" s="28">
        <v>44442</v>
      </c>
      <c r="G16" s="3" t="s">
        <v>21</v>
      </c>
      <c r="H16" s="9">
        <v>43009</v>
      </c>
      <c r="I16" s="9">
        <v>44834</v>
      </c>
      <c r="J16" s="4"/>
    </row>
    <row r="17" spans="1:10">
      <c r="A17" s="18" t="s">
        <v>10</v>
      </c>
      <c r="B17" s="3" t="s">
        <v>114</v>
      </c>
      <c r="C17" s="3" t="s">
        <v>63</v>
      </c>
      <c r="D17" s="3" t="s">
        <v>98</v>
      </c>
      <c r="E17" s="11">
        <v>44363</v>
      </c>
      <c r="F17" s="28">
        <v>44441</v>
      </c>
      <c r="G17" s="3" t="s">
        <v>21</v>
      </c>
      <c r="H17" s="9">
        <v>43009</v>
      </c>
      <c r="I17" s="9">
        <v>44834</v>
      </c>
      <c r="J17" s="4"/>
    </row>
    <row r="18" spans="1:10">
      <c r="A18" s="18" t="s">
        <v>10</v>
      </c>
      <c r="B18" s="3" t="s">
        <v>115</v>
      </c>
      <c r="C18" s="3" t="s">
        <v>63</v>
      </c>
      <c r="D18" s="3" t="s">
        <v>98</v>
      </c>
      <c r="E18" s="11">
        <v>44354</v>
      </c>
      <c r="F18" s="28">
        <v>44441</v>
      </c>
      <c r="G18" s="3" t="s">
        <v>21</v>
      </c>
      <c r="H18" s="9">
        <v>43009</v>
      </c>
      <c r="I18" s="9">
        <v>44834</v>
      </c>
      <c r="J18" s="4"/>
    </row>
    <row r="19" spans="1:10">
      <c r="A19" s="18" t="s">
        <v>10</v>
      </c>
      <c r="B19" s="3" t="s">
        <v>116</v>
      </c>
      <c r="C19" s="3" t="s">
        <v>63</v>
      </c>
      <c r="D19" s="3" t="s">
        <v>98</v>
      </c>
      <c r="E19" s="11">
        <v>44355</v>
      </c>
      <c r="F19" s="28">
        <v>44441</v>
      </c>
      <c r="G19" s="3" t="s">
        <v>21</v>
      </c>
      <c r="H19" s="9">
        <v>43009</v>
      </c>
      <c r="I19" s="9">
        <v>44834</v>
      </c>
      <c r="J19" s="4"/>
    </row>
    <row r="20" spans="1:10">
      <c r="A20" s="18" t="s">
        <v>10</v>
      </c>
      <c r="B20" s="3" t="s">
        <v>117</v>
      </c>
      <c r="C20" s="3" t="s">
        <v>63</v>
      </c>
      <c r="D20" s="3" t="s">
        <v>98</v>
      </c>
      <c r="E20" s="11">
        <v>44354</v>
      </c>
      <c r="F20" s="28">
        <v>44442</v>
      </c>
      <c r="G20" s="3" t="s">
        <v>21</v>
      </c>
      <c r="H20" s="9">
        <v>43009</v>
      </c>
      <c r="I20" s="9">
        <v>44834</v>
      </c>
      <c r="J20" s="4"/>
    </row>
    <row r="21" spans="1:10">
      <c r="A21" s="18" t="s">
        <v>10</v>
      </c>
      <c r="B21" s="3" t="s">
        <v>118</v>
      </c>
      <c r="C21" s="3" t="s">
        <v>63</v>
      </c>
      <c r="D21" s="3" t="s">
        <v>98</v>
      </c>
      <c r="E21" s="11">
        <v>44354</v>
      </c>
      <c r="F21" s="28">
        <v>44491</v>
      </c>
      <c r="G21" s="3" t="s">
        <v>21</v>
      </c>
      <c r="H21" s="9">
        <v>43009</v>
      </c>
      <c r="I21" s="9">
        <v>44834</v>
      </c>
      <c r="J21" s="4"/>
    </row>
    <row r="22" spans="1:10">
      <c r="A22" s="385" t="s">
        <v>162</v>
      </c>
      <c r="B22" s="371" t="s">
        <v>119</v>
      </c>
      <c r="C22" s="371" t="s">
        <v>63</v>
      </c>
      <c r="D22" s="371" t="s">
        <v>98</v>
      </c>
      <c r="E22" s="32">
        <v>44398</v>
      </c>
      <c r="F22" s="30"/>
      <c r="G22" s="3" t="s">
        <v>21</v>
      </c>
      <c r="H22" s="9">
        <v>43009</v>
      </c>
      <c r="I22" s="9">
        <v>44834</v>
      </c>
      <c r="J22" s="4"/>
    </row>
    <row r="23" spans="1:10">
      <c r="A23" s="386" t="s">
        <v>162</v>
      </c>
      <c r="B23" s="373"/>
      <c r="C23" s="373" t="s">
        <v>63</v>
      </c>
      <c r="D23" s="373" t="s">
        <v>98</v>
      </c>
      <c r="E23" s="32">
        <v>44398</v>
      </c>
      <c r="F23" s="30"/>
      <c r="G23" s="3" t="s">
        <v>23</v>
      </c>
      <c r="H23" s="10">
        <v>44136</v>
      </c>
      <c r="I23" s="10">
        <v>45961</v>
      </c>
      <c r="J23" s="4"/>
    </row>
    <row r="24" spans="1:10">
      <c r="A24" s="18" t="s">
        <v>10</v>
      </c>
      <c r="B24" s="3" t="s">
        <v>120</v>
      </c>
      <c r="C24" s="3" t="s">
        <v>63</v>
      </c>
      <c r="D24" s="3" t="s">
        <v>98</v>
      </c>
      <c r="E24" s="11">
        <v>44364</v>
      </c>
      <c r="F24" s="28">
        <v>44455</v>
      </c>
      <c r="G24" s="3" t="s">
        <v>75</v>
      </c>
      <c r="H24" s="9">
        <v>43405</v>
      </c>
      <c r="I24" s="9">
        <v>45230</v>
      </c>
      <c r="J24" s="4"/>
    </row>
    <row r="25" spans="1:10">
      <c r="A25" s="18" t="s">
        <v>10</v>
      </c>
      <c r="B25" s="3" t="s">
        <v>121</v>
      </c>
      <c r="C25" s="3" t="s">
        <v>63</v>
      </c>
      <c r="D25" s="3" t="s">
        <v>98</v>
      </c>
      <c r="E25" s="11">
        <v>44398</v>
      </c>
      <c r="F25" s="28">
        <v>44461</v>
      </c>
      <c r="G25" s="3" t="s">
        <v>75</v>
      </c>
      <c r="H25" s="9">
        <v>43405</v>
      </c>
      <c r="I25" s="9">
        <v>45230</v>
      </c>
      <c r="J25" s="4"/>
    </row>
    <row r="26" spans="1:10">
      <c r="A26" s="19" t="s">
        <v>24</v>
      </c>
      <c r="B26" s="13" t="s">
        <v>122</v>
      </c>
      <c r="C26" s="3" t="s">
        <v>63</v>
      </c>
      <c r="D26" s="3" t="s">
        <v>98</v>
      </c>
      <c r="E26" s="11">
        <v>44252</v>
      </c>
      <c r="F26" s="28">
        <v>44454</v>
      </c>
      <c r="G26" s="14" t="s">
        <v>123</v>
      </c>
      <c r="H26" s="9" t="s">
        <v>79</v>
      </c>
      <c r="I26" s="9" t="s">
        <v>80</v>
      </c>
      <c r="J26" s="4"/>
    </row>
    <row r="27" spans="1:10">
      <c r="A27" s="19" t="s">
        <v>24</v>
      </c>
      <c r="B27" s="13" t="s">
        <v>124</v>
      </c>
      <c r="C27" s="3" t="s">
        <v>63</v>
      </c>
      <c r="D27" s="3" t="s">
        <v>98</v>
      </c>
      <c r="E27" s="11">
        <v>44252</v>
      </c>
      <c r="F27" s="28">
        <v>44454</v>
      </c>
      <c r="G27" s="14" t="s">
        <v>123</v>
      </c>
      <c r="H27" s="9" t="s">
        <v>79</v>
      </c>
      <c r="I27" s="9" t="s">
        <v>80</v>
      </c>
      <c r="J27" s="4"/>
    </row>
    <row r="28" spans="1:10">
      <c r="A28" s="19" t="s">
        <v>24</v>
      </c>
      <c r="B28" s="13" t="s">
        <v>125</v>
      </c>
      <c r="C28" s="3" t="s">
        <v>63</v>
      </c>
      <c r="D28" s="3" t="s">
        <v>98</v>
      </c>
      <c r="E28" s="11">
        <v>44252</v>
      </c>
      <c r="F28" s="28">
        <v>44454</v>
      </c>
      <c r="G28" s="14" t="s">
        <v>123</v>
      </c>
      <c r="H28" s="9" t="s">
        <v>79</v>
      </c>
      <c r="I28" s="9" t="s">
        <v>80</v>
      </c>
      <c r="J28" s="4"/>
    </row>
    <row r="29" spans="1:10">
      <c r="A29" s="388" t="s">
        <v>191</v>
      </c>
      <c r="B29" s="371" t="s">
        <v>126</v>
      </c>
      <c r="C29" s="371" t="s">
        <v>63</v>
      </c>
      <c r="D29" s="371" t="s">
        <v>98</v>
      </c>
      <c r="E29" s="11">
        <v>44364</v>
      </c>
      <c r="F29" s="28">
        <v>44467</v>
      </c>
      <c r="G29" s="3" t="s">
        <v>47</v>
      </c>
      <c r="H29" s="12">
        <v>43525</v>
      </c>
      <c r="I29" s="12">
        <v>43889</v>
      </c>
      <c r="J29" s="4"/>
    </row>
    <row r="30" spans="1:10">
      <c r="A30" s="389" t="s">
        <v>191</v>
      </c>
      <c r="B30" s="372"/>
      <c r="C30" s="372" t="s">
        <v>63</v>
      </c>
      <c r="D30" s="372" t="s">
        <v>98</v>
      </c>
      <c r="E30" s="11">
        <v>44364</v>
      </c>
      <c r="F30" s="28">
        <v>44467</v>
      </c>
      <c r="G30" s="3" t="s">
        <v>44</v>
      </c>
      <c r="H30" s="12">
        <v>43342</v>
      </c>
      <c r="I30" s="12">
        <v>44802</v>
      </c>
      <c r="J30" s="4"/>
    </row>
    <row r="31" spans="1:10">
      <c r="A31" s="389" t="s">
        <v>191</v>
      </c>
      <c r="B31" s="372"/>
      <c r="C31" s="372" t="s">
        <v>63</v>
      </c>
      <c r="D31" s="372" t="s">
        <v>98</v>
      </c>
      <c r="E31" s="11">
        <v>44364</v>
      </c>
      <c r="F31" s="28">
        <v>44467</v>
      </c>
      <c r="G31" s="3" t="s">
        <v>43</v>
      </c>
      <c r="H31" s="9">
        <v>42770</v>
      </c>
      <c r="I31" s="9">
        <v>44230</v>
      </c>
      <c r="J31" s="4"/>
    </row>
    <row r="32" spans="1:10">
      <c r="A32" s="390" t="s">
        <v>191</v>
      </c>
      <c r="B32" s="373"/>
      <c r="C32" s="373" t="s">
        <v>63</v>
      </c>
      <c r="D32" s="373" t="s">
        <v>98</v>
      </c>
      <c r="E32" s="11">
        <v>44364</v>
      </c>
      <c r="F32" s="28">
        <v>44467</v>
      </c>
      <c r="G32" s="3" t="s">
        <v>45</v>
      </c>
      <c r="H32" s="12">
        <v>43525</v>
      </c>
      <c r="I32" s="12">
        <v>43889</v>
      </c>
      <c r="J32" s="4"/>
    </row>
    <row r="33" spans="1:10">
      <c r="A33" s="388" t="s">
        <v>37</v>
      </c>
      <c r="B33" s="371" t="s">
        <v>127</v>
      </c>
      <c r="C33" s="371" t="s">
        <v>63</v>
      </c>
      <c r="D33" s="371" t="s">
        <v>98</v>
      </c>
      <c r="E33" s="11">
        <v>44371</v>
      </c>
      <c r="F33" s="28">
        <v>44468</v>
      </c>
      <c r="G33" s="3" t="s">
        <v>42</v>
      </c>
      <c r="H33" s="3"/>
      <c r="I33" s="3"/>
      <c r="J33" s="4"/>
    </row>
    <row r="34" spans="1:10">
      <c r="A34" s="389"/>
      <c r="B34" s="372" t="s">
        <v>127</v>
      </c>
      <c r="C34" s="372" t="s">
        <v>63</v>
      </c>
      <c r="D34" s="372" t="s">
        <v>98</v>
      </c>
      <c r="E34" s="11">
        <v>44371</v>
      </c>
      <c r="F34" s="28">
        <v>44468</v>
      </c>
      <c r="G34" s="3" t="s">
        <v>44</v>
      </c>
      <c r="H34" s="12">
        <v>43342</v>
      </c>
      <c r="I34" s="12">
        <v>44802</v>
      </c>
      <c r="J34" s="4"/>
    </row>
    <row r="35" spans="1:10">
      <c r="A35" s="389"/>
      <c r="B35" s="372" t="s">
        <v>127</v>
      </c>
      <c r="C35" s="372" t="s">
        <v>63</v>
      </c>
      <c r="D35" s="372" t="s">
        <v>98</v>
      </c>
      <c r="E35" s="11">
        <v>44371</v>
      </c>
      <c r="F35" s="28">
        <v>44468</v>
      </c>
      <c r="G35" s="3" t="s">
        <v>43</v>
      </c>
      <c r="H35" s="9">
        <v>42770</v>
      </c>
      <c r="I35" s="9">
        <v>44230</v>
      </c>
      <c r="J35" s="4"/>
    </row>
    <row r="36" spans="1:10">
      <c r="A36" s="390"/>
      <c r="B36" s="373" t="s">
        <v>127</v>
      </c>
      <c r="C36" s="373" t="s">
        <v>63</v>
      </c>
      <c r="D36" s="373" t="s">
        <v>98</v>
      </c>
      <c r="E36" s="11">
        <v>44371</v>
      </c>
      <c r="F36" s="28">
        <v>44468</v>
      </c>
      <c r="G36" s="3" t="s">
        <v>45</v>
      </c>
      <c r="H36" s="12">
        <v>43525</v>
      </c>
      <c r="I36" s="12">
        <v>43889</v>
      </c>
      <c r="J36" s="4"/>
    </row>
    <row r="37" spans="1:10">
      <c r="A37" s="24" t="s">
        <v>58</v>
      </c>
      <c r="B37" s="3" t="s">
        <v>90</v>
      </c>
      <c r="C37" s="3" t="s">
        <v>63</v>
      </c>
      <c r="D37" s="3" t="s">
        <v>98</v>
      </c>
      <c r="E37" s="9">
        <v>44336</v>
      </c>
      <c r="F37" s="31">
        <v>44476</v>
      </c>
      <c r="G37" s="3" t="s">
        <v>60</v>
      </c>
      <c r="H37" s="9">
        <v>43987</v>
      </c>
      <c r="I37" s="9">
        <v>44716</v>
      </c>
      <c r="J37" s="4"/>
    </row>
    <row r="38" spans="1:10">
      <c r="A38" s="24" t="s">
        <v>58</v>
      </c>
      <c r="B38" s="3" t="s">
        <v>128</v>
      </c>
      <c r="C38" s="3" t="s">
        <v>63</v>
      </c>
      <c r="D38" s="3" t="s">
        <v>98</v>
      </c>
      <c r="E38" s="9">
        <v>44323</v>
      </c>
      <c r="F38" s="31">
        <v>44481</v>
      </c>
      <c r="G38" s="3" t="s">
        <v>60</v>
      </c>
      <c r="H38" s="9">
        <v>43987</v>
      </c>
      <c r="I38" s="9">
        <v>44716</v>
      </c>
      <c r="J38" s="4"/>
    </row>
    <row r="39" spans="1:10">
      <c r="A39" s="24" t="s">
        <v>58</v>
      </c>
      <c r="B39" s="3" t="s">
        <v>81</v>
      </c>
      <c r="C39" s="3" t="s">
        <v>63</v>
      </c>
      <c r="D39" s="3" t="s">
        <v>98</v>
      </c>
      <c r="E39" s="9">
        <v>44336</v>
      </c>
      <c r="F39" s="28">
        <v>44474</v>
      </c>
      <c r="G39" s="3" t="s">
        <v>60</v>
      </c>
      <c r="H39" s="9">
        <v>43987</v>
      </c>
      <c r="I39" s="9">
        <v>44716</v>
      </c>
      <c r="J39" s="4"/>
    </row>
    <row r="40" spans="1:10">
      <c r="A40" s="24" t="s">
        <v>58</v>
      </c>
      <c r="B40" s="3" t="s">
        <v>129</v>
      </c>
      <c r="C40" s="3" t="s">
        <v>63</v>
      </c>
      <c r="D40" s="3" t="s">
        <v>98</v>
      </c>
      <c r="E40" s="9">
        <v>44336</v>
      </c>
      <c r="F40" s="28">
        <v>44474</v>
      </c>
      <c r="G40" s="3" t="s">
        <v>60</v>
      </c>
      <c r="H40" s="9">
        <v>43987</v>
      </c>
      <c r="I40" s="9">
        <v>44716</v>
      </c>
      <c r="J40" s="4"/>
    </row>
    <row r="41" spans="1:10">
      <c r="A41" s="24" t="s">
        <v>58</v>
      </c>
      <c r="B41" s="3" t="s">
        <v>130</v>
      </c>
      <c r="C41" s="3" t="s">
        <v>63</v>
      </c>
      <c r="D41" s="3" t="s">
        <v>98</v>
      </c>
      <c r="E41" s="9">
        <v>44369</v>
      </c>
      <c r="F41" s="31">
        <v>44461</v>
      </c>
      <c r="G41" s="3" t="s">
        <v>60</v>
      </c>
      <c r="H41" s="9">
        <v>43987</v>
      </c>
      <c r="I41" s="9">
        <v>44716</v>
      </c>
      <c r="J41" s="4"/>
    </row>
    <row r="42" spans="1:10">
      <c r="A42" s="24" t="s">
        <v>58</v>
      </c>
      <c r="B42" s="3" t="s">
        <v>126</v>
      </c>
      <c r="C42" s="3" t="s">
        <v>63</v>
      </c>
      <c r="D42" s="3" t="s">
        <v>98</v>
      </c>
      <c r="E42" s="9">
        <v>44336</v>
      </c>
      <c r="F42" s="28">
        <v>44474</v>
      </c>
      <c r="G42" s="3" t="s">
        <v>60</v>
      </c>
      <c r="H42" s="9">
        <v>43987</v>
      </c>
      <c r="I42" s="9">
        <v>44716</v>
      </c>
      <c r="J42" s="4"/>
    </row>
    <row r="43" spans="1:10">
      <c r="A43" s="24" t="s">
        <v>58</v>
      </c>
      <c r="B43" s="3" t="s">
        <v>131</v>
      </c>
      <c r="C43" s="3" t="s">
        <v>63</v>
      </c>
      <c r="D43" s="3" t="s">
        <v>98</v>
      </c>
      <c r="E43" s="9">
        <v>44323</v>
      </c>
      <c r="F43" s="31">
        <v>44476</v>
      </c>
      <c r="G43" s="3" t="s">
        <v>60</v>
      </c>
      <c r="H43" s="9">
        <v>43987</v>
      </c>
      <c r="I43" s="9">
        <v>44716</v>
      </c>
      <c r="J43" s="4"/>
    </row>
    <row r="44" spans="1:10">
      <c r="A44" s="24" t="s">
        <v>58</v>
      </c>
      <c r="B44" s="3" t="s">
        <v>132</v>
      </c>
      <c r="C44" s="3" t="s">
        <v>63</v>
      </c>
      <c r="D44" s="3" t="s">
        <v>98</v>
      </c>
      <c r="E44" s="9">
        <v>44336</v>
      </c>
      <c r="F44" s="31">
        <v>44475</v>
      </c>
      <c r="G44" s="3" t="s">
        <v>60</v>
      </c>
      <c r="H44" s="9">
        <v>43987</v>
      </c>
      <c r="I44" s="9">
        <v>44716</v>
      </c>
      <c r="J44" s="4"/>
    </row>
    <row r="45" spans="1:10">
      <c r="A45" s="24" t="s">
        <v>58</v>
      </c>
      <c r="B45" s="3" t="s">
        <v>133</v>
      </c>
      <c r="C45" s="3" t="s">
        <v>63</v>
      </c>
      <c r="D45" s="3" t="s">
        <v>98</v>
      </c>
      <c r="E45" s="9">
        <v>44323</v>
      </c>
      <c r="F45" s="31">
        <v>44476</v>
      </c>
      <c r="G45" s="3" t="s">
        <v>60</v>
      </c>
      <c r="H45" s="9">
        <v>43987</v>
      </c>
      <c r="I45" s="9">
        <v>44716</v>
      </c>
      <c r="J45" s="4"/>
    </row>
    <row r="46" spans="1:10">
      <c r="A46" s="24" t="s">
        <v>58</v>
      </c>
      <c r="B46" s="3" t="s">
        <v>134</v>
      </c>
      <c r="C46" s="3" t="s">
        <v>63</v>
      </c>
      <c r="D46" s="3" t="s">
        <v>98</v>
      </c>
      <c r="E46" s="9">
        <v>44323</v>
      </c>
      <c r="F46" s="31">
        <v>44481</v>
      </c>
      <c r="G46" s="3" t="s">
        <v>60</v>
      </c>
      <c r="H46" s="9">
        <v>43987</v>
      </c>
      <c r="I46" s="9">
        <v>44716</v>
      </c>
      <c r="J46" s="4"/>
    </row>
  </sheetData>
  <autoFilter ref="A1:J1" xr:uid="{00000000-0001-0000-0400-000000000000}"/>
  <mergeCells count="12">
    <mergeCell ref="A33:A36"/>
    <mergeCell ref="B33:B36"/>
    <mergeCell ref="C33:C36"/>
    <mergeCell ref="D33:D36"/>
    <mergeCell ref="B22:B23"/>
    <mergeCell ref="C22:C23"/>
    <mergeCell ref="D22:D23"/>
    <mergeCell ref="A22:A23"/>
    <mergeCell ref="B29:B32"/>
    <mergeCell ref="C29:C32"/>
    <mergeCell ref="D29:D32"/>
    <mergeCell ref="A29:A32"/>
  </mergeCells>
  <phoneticPr fontId="1" type="noConversion"/>
  <conditionalFormatting sqref="E2:E25">
    <cfRule type="expression" dxfId="12" priority="1">
      <formula>(E2-D2)&lt;61</formula>
    </cfRule>
  </conditionalFormatting>
  <conditionalFormatting sqref="F2:F21 F25">
    <cfRule type="expression" dxfId="11" priority="9">
      <formula>(F2-E2)&lt;61</formula>
    </cfRule>
  </conditionalFormatting>
  <dataValidations count="1">
    <dataValidation type="list" allowBlank="1" showInputMessage="1" showErrorMessage="1" sqref="A2:A33 A37:A100" xr:uid="{00000000-0002-0000-0400-000000000000}">
      <formula1>"POST,HNCB,FCB,BOT,NET"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</sheetPr>
  <dimension ref="A1:J30"/>
  <sheetViews>
    <sheetView topLeftCell="A13" zoomScale="150" workbookViewId="0">
      <selection activeCell="F11" sqref="F10:F11"/>
    </sheetView>
  </sheetViews>
  <sheetFormatPr defaultColWidth="10.81640625" defaultRowHeight="17"/>
  <cols>
    <col min="1" max="1" width="10.81640625" style="2"/>
    <col min="2" max="2" width="15" style="1" customWidth="1"/>
    <col min="3" max="4" width="12.81640625" style="1" customWidth="1"/>
    <col min="5" max="6" width="16.08984375" style="1" customWidth="1"/>
    <col min="7" max="7" width="18.453125" style="1" customWidth="1"/>
    <col min="8" max="9" width="14.08984375" style="1" customWidth="1"/>
    <col min="10" max="10" width="32.6328125" style="1" customWidth="1"/>
  </cols>
  <sheetData>
    <row r="1" spans="1:10">
      <c r="A1" s="20" t="s">
        <v>0</v>
      </c>
      <c r="B1" s="20" t="s">
        <v>1</v>
      </c>
      <c r="C1" s="20" t="s">
        <v>2</v>
      </c>
      <c r="D1" s="20" t="s">
        <v>3</v>
      </c>
      <c r="E1" s="20" t="s">
        <v>8</v>
      </c>
      <c r="F1" s="20" t="s">
        <v>9</v>
      </c>
      <c r="G1" s="20" t="s">
        <v>4</v>
      </c>
      <c r="H1" s="20" t="s">
        <v>5</v>
      </c>
      <c r="I1" s="20" t="s">
        <v>6</v>
      </c>
      <c r="J1" s="20" t="s">
        <v>7</v>
      </c>
    </row>
    <row r="2" spans="1:10">
      <c r="A2" s="18" t="s">
        <v>10</v>
      </c>
      <c r="B2" s="3" t="s">
        <v>237</v>
      </c>
      <c r="C2" s="13" t="s">
        <v>137</v>
      </c>
      <c r="D2" s="13" t="s">
        <v>238</v>
      </c>
      <c r="E2" s="11">
        <v>44309</v>
      </c>
      <c r="F2" s="11">
        <v>44413</v>
      </c>
      <c r="G2" s="3" t="s">
        <v>22</v>
      </c>
      <c r="H2" s="4"/>
      <c r="I2" s="4"/>
      <c r="J2" s="4"/>
    </row>
    <row r="3" spans="1:10">
      <c r="A3" s="385" t="s">
        <v>10</v>
      </c>
      <c r="B3" s="371" t="s">
        <v>239</v>
      </c>
      <c r="C3" s="371" t="s">
        <v>137</v>
      </c>
      <c r="D3" s="371" t="s">
        <v>238</v>
      </c>
      <c r="E3" s="11">
        <v>44393</v>
      </c>
      <c r="F3" s="11"/>
      <c r="G3" s="3" t="s">
        <v>65</v>
      </c>
      <c r="H3" s="4"/>
      <c r="I3" s="4"/>
      <c r="J3" s="4"/>
    </row>
    <row r="4" spans="1:10">
      <c r="A4" s="386"/>
      <c r="B4" s="373"/>
      <c r="C4" s="373" t="s">
        <v>137</v>
      </c>
      <c r="D4" s="373" t="s">
        <v>238</v>
      </c>
      <c r="E4" s="11">
        <v>44306</v>
      </c>
      <c r="F4" s="11">
        <v>44393</v>
      </c>
      <c r="G4" s="3" t="s">
        <v>21</v>
      </c>
      <c r="H4" s="4"/>
      <c r="I4" s="4"/>
      <c r="J4" s="4"/>
    </row>
    <row r="5" spans="1:10">
      <c r="A5" s="18" t="s">
        <v>10</v>
      </c>
      <c r="B5" s="3" t="s">
        <v>240</v>
      </c>
      <c r="C5" s="13" t="s">
        <v>137</v>
      </c>
      <c r="D5" s="13" t="s">
        <v>238</v>
      </c>
      <c r="E5" s="11">
        <v>44328</v>
      </c>
      <c r="F5" s="11">
        <v>44413</v>
      </c>
      <c r="G5" s="3" t="s">
        <v>144</v>
      </c>
      <c r="H5" s="4"/>
      <c r="I5" s="4"/>
      <c r="J5" s="4"/>
    </row>
    <row r="6" spans="1:10">
      <c r="A6" s="18" t="s">
        <v>10</v>
      </c>
      <c r="B6" s="3" t="s">
        <v>241</v>
      </c>
      <c r="C6" s="13" t="s">
        <v>137</v>
      </c>
      <c r="D6" s="13" t="s">
        <v>238</v>
      </c>
      <c r="E6" s="11">
        <v>44306</v>
      </c>
      <c r="F6" s="11">
        <v>44393</v>
      </c>
      <c r="G6" s="3" t="s">
        <v>22</v>
      </c>
      <c r="H6" s="4"/>
      <c r="I6" s="4"/>
      <c r="J6" s="4"/>
    </row>
    <row r="7" spans="1:10">
      <c r="A7" s="18" t="s">
        <v>10</v>
      </c>
      <c r="B7" s="3" t="s">
        <v>242</v>
      </c>
      <c r="C7" s="13" t="s">
        <v>137</v>
      </c>
      <c r="D7" s="13" t="s">
        <v>238</v>
      </c>
      <c r="E7" s="11">
        <v>44309</v>
      </c>
      <c r="F7" s="11">
        <v>44392</v>
      </c>
      <c r="G7" s="3" t="s">
        <v>22</v>
      </c>
      <c r="H7" s="4"/>
      <c r="I7" s="4"/>
      <c r="J7" s="4"/>
    </row>
    <row r="8" spans="1:10">
      <c r="A8" s="18" t="s">
        <v>10</v>
      </c>
      <c r="B8" s="3" t="s">
        <v>243</v>
      </c>
      <c r="C8" s="13" t="s">
        <v>137</v>
      </c>
      <c r="D8" s="13" t="s">
        <v>238</v>
      </c>
      <c r="E8" s="11">
        <v>44309</v>
      </c>
      <c r="F8" s="11">
        <v>44393</v>
      </c>
      <c r="G8" s="3" t="s">
        <v>22</v>
      </c>
      <c r="H8" s="4"/>
      <c r="I8" s="4"/>
      <c r="J8" s="4"/>
    </row>
    <row r="9" spans="1:10">
      <c r="A9" s="19" t="s">
        <v>24</v>
      </c>
      <c r="B9" s="3" t="s">
        <v>244</v>
      </c>
      <c r="C9" s="13" t="s">
        <v>137</v>
      </c>
      <c r="D9" s="13" t="s">
        <v>238</v>
      </c>
      <c r="E9" s="11">
        <v>44270</v>
      </c>
      <c r="F9" s="11"/>
      <c r="G9" s="3" t="s">
        <v>28</v>
      </c>
      <c r="H9" s="4"/>
      <c r="I9" s="4"/>
      <c r="J9" s="4"/>
    </row>
    <row r="10" spans="1:10">
      <c r="A10" s="434" t="s">
        <v>24</v>
      </c>
      <c r="B10" s="371" t="s">
        <v>245</v>
      </c>
      <c r="C10" s="371" t="s">
        <v>137</v>
      </c>
      <c r="D10" s="371" t="s">
        <v>238</v>
      </c>
      <c r="E10" s="11">
        <v>44231</v>
      </c>
      <c r="F10" s="11"/>
      <c r="G10" s="3" t="s">
        <v>86</v>
      </c>
      <c r="H10" s="4"/>
      <c r="I10" s="4"/>
      <c r="J10" s="4"/>
    </row>
    <row r="11" spans="1:10">
      <c r="A11" s="436"/>
      <c r="B11" s="373"/>
      <c r="C11" s="373" t="s">
        <v>137</v>
      </c>
      <c r="D11" s="373" t="s">
        <v>238</v>
      </c>
      <c r="E11" s="11">
        <v>44231</v>
      </c>
      <c r="F11" s="11"/>
      <c r="G11" s="3" t="s">
        <v>28</v>
      </c>
      <c r="H11" s="4"/>
      <c r="I11" s="4"/>
      <c r="J11" s="4"/>
    </row>
    <row r="12" spans="1:10">
      <c r="A12" s="19" t="s">
        <v>24</v>
      </c>
      <c r="B12" s="3" t="s">
        <v>246</v>
      </c>
      <c r="C12" s="13" t="s">
        <v>137</v>
      </c>
      <c r="D12" s="13" t="s">
        <v>238</v>
      </c>
      <c r="E12" s="11">
        <v>44270</v>
      </c>
      <c r="F12" s="11"/>
      <c r="G12" s="3" t="s">
        <v>28</v>
      </c>
      <c r="H12" s="4"/>
      <c r="I12" s="4"/>
      <c r="J12" s="4"/>
    </row>
    <row r="13" spans="1:10">
      <c r="A13" s="388" t="s">
        <v>37</v>
      </c>
      <c r="B13" s="371" t="s">
        <v>244</v>
      </c>
      <c r="C13" s="371" t="s">
        <v>137</v>
      </c>
      <c r="D13" s="371" t="s">
        <v>238</v>
      </c>
      <c r="E13" s="11">
        <v>44306</v>
      </c>
      <c r="F13" s="11">
        <v>44358</v>
      </c>
      <c r="G13" s="3" t="s">
        <v>248</v>
      </c>
      <c r="H13" s="4"/>
      <c r="I13" s="4"/>
      <c r="J13" s="4"/>
    </row>
    <row r="14" spans="1:10">
      <c r="A14" s="389"/>
      <c r="B14" s="372"/>
      <c r="C14" s="372" t="s">
        <v>137</v>
      </c>
      <c r="D14" s="372" t="s">
        <v>238</v>
      </c>
      <c r="E14" s="11">
        <v>44306</v>
      </c>
      <c r="F14" s="11">
        <v>44358</v>
      </c>
      <c r="G14" s="3" t="s">
        <v>47</v>
      </c>
      <c r="H14" s="4"/>
      <c r="I14" s="4"/>
      <c r="J14" s="4"/>
    </row>
    <row r="15" spans="1:10">
      <c r="A15" s="389"/>
      <c r="B15" s="372"/>
      <c r="C15" s="372" t="s">
        <v>137</v>
      </c>
      <c r="D15" s="372" t="s">
        <v>238</v>
      </c>
      <c r="E15" s="11">
        <v>44306</v>
      </c>
      <c r="F15" s="11">
        <v>44358</v>
      </c>
      <c r="G15" s="3" t="s">
        <v>43</v>
      </c>
      <c r="H15" s="4"/>
      <c r="I15" s="4"/>
      <c r="J15" s="4"/>
    </row>
    <row r="16" spans="1:10">
      <c r="A16" s="389"/>
      <c r="B16" s="372"/>
      <c r="C16" s="372" t="s">
        <v>137</v>
      </c>
      <c r="D16" s="372" t="s">
        <v>238</v>
      </c>
      <c r="E16" s="11">
        <v>44306</v>
      </c>
      <c r="F16" s="11">
        <v>44358</v>
      </c>
      <c r="G16" s="3" t="s">
        <v>44</v>
      </c>
      <c r="H16" s="4"/>
      <c r="I16" s="4"/>
      <c r="J16" s="4"/>
    </row>
    <row r="17" spans="1:10">
      <c r="A17" s="390"/>
      <c r="B17" s="373"/>
      <c r="C17" s="373" t="s">
        <v>137</v>
      </c>
      <c r="D17" s="373" t="s">
        <v>238</v>
      </c>
      <c r="E17" s="11">
        <v>44306</v>
      </c>
      <c r="F17" s="11" t="s">
        <v>249</v>
      </c>
      <c r="G17" s="3" t="s">
        <v>45</v>
      </c>
      <c r="H17" s="4"/>
      <c r="I17" s="4"/>
      <c r="J17" s="4"/>
    </row>
    <row r="18" spans="1:10">
      <c r="A18" s="388" t="s">
        <v>37</v>
      </c>
      <c r="B18" s="371" t="s">
        <v>245</v>
      </c>
      <c r="C18" s="371" t="s">
        <v>137</v>
      </c>
      <c r="D18" s="371" t="s">
        <v>238</v>
      </c>
      <c r="E18" s="11">
        <v>44306</v>
      </c>
      <c r="F18" s="11">
        <v>44393</v>
      </c>
      <c r="G18" s="3" t="s">
        <v>42</v>
      </c>
      <c r="H18" s="4"/>
      <c r="I18" s="4"/>
      <c r="J18" s="4"/>
    </row>
    <row r="19" spans="1:10">
      <c r="A19" s="389"/>
      <c r="B19" s="372"/>
      <c r="C19" s="372" t="s">
        <v>137</v>
      </c>
      <c r="D19" s="372" t="s">
        <v>238</v>
      </c>
      <c r="E19" s="11">
        <v>44306</v>
      </c>
      <c r="F19" s="11">
        <v>44393</v>
      </c>
      <c r="G19" s="3" t="s">
        <v>43</v>
      </c>
      <c r="H19" s="4"/>
      <c r="I19" s="4"/>
      <c r="J19" s="4"/>
    </row>
    <row r="20" spans="1:10">
      <c r="A20" s="389"/>
      <c r="B20" s="372"/>
      <c r="C20" s="372" t="s">
        <v>137</v>
      </c>
      <c r="D20" s="372" t="s">
        <v>238</v>
      </c>
      <c r="E20" s="11">
        <v>44306</v>
      </c>
      <c r="F20" s="11">
        <v>44393</v>
      </c>
      <c r="G20" s="3" t="s">
        <v>44</v>
      </c>
      <c r="H20" s="4"/>
      <c r="I20" s="4"/>
      <c r="J20" s="4"/>
    </row>
    <row r="21" spans="1:10">
      <c r="A21" s="390"/>
      <c r="B21" s="373"/>
      <c r="C21" s="373" t="s">
        <v>137</v>
      </c>
      <c r="D21" s="373" t="s">
        <v>238</v>
      </c>
      <c r="E21" s="11">
        <v>44306</v>
      </c>
      <c r="F21" s="11">
        <v>44393</v>
      </c>
      <c r="G21" s="3" t="s">
        <v>45</v>
      </c>
      <c r="H21" s="4"/>
      <c r="I21" s="4"/>
      <c r="J21" s="4"/>
    </row>
    <row r="22" spans="1:10">
      <c r="A22" s="388" t="s">
        <v>37</v>
      </c>
      <c r="B22" s="371" t="s">
        <v>247</v>
      </c>
      <c r="C22" s="371" t="s">
        <v>137</v>
      </c>
      <c r="D22" s="371" t="s">
        <v>238</v>
      </c>
      <c r="E22" s="11">
        <v>44312</v>
      </c>
      <c r="F22" s="11">
        <v>44403</v>
      </c>
      <c r="G22" s="3" t="s">
        <v>47</v>
      </c>
      <c r="H22" s="4"/>
      <c r="I22" s="4"/>
      <c r="J22" s="4"/>
    </row>
    <row r="23" spans="1:10">
      <c r="A23" s="389"/>
      <c r="B23" s="372"/>
      <c r="C23" s="372" t="s">
        <v>137</v>
      </c>
      <c r="D23" s="372" t="s">
        <v>238</v>
      </c>
      <c r="E23" s="11">
        <v>44312</v>
      </c>
      <c r="F23" s="11">
        <v>44403</v>
      </c>
      <c r="G23" s="3" t="s">
        <v>43</v>
      </c>
      <c r="H23" s="4"/>
      <c r="I23" s="4"/>
      <c r="J23" s="4"/>
    </row>
    <row r="24" spans="1:10">
      <c r="A24" s="390"/>
      <c r="B24" s="373"/>
      <c r="C24" s="373" t="s">
        <v>137</v>
      </c>
      <c r="D24" s="373" t="s">
        <v>238</v>
      </c>
      <c r="E24" s="11">
        <v>44312</v>
      </c>
      <c r="F24" s="11">
        <v>44403</v>
      </c>
      <c r="G24" s="3" t="s">
        <v>44</v>
      </c>
      <c r="H24" s="4"/>
      <c r="I24" s="4"/>
      <c r="J24" s="4"/>
    </row>
    <row r="25" spans="1:10">
      <c r="A25" s="388" t="s">
        <v>37</v>
      </c>
      <c r="B25" s="371" t="s">
        <v>246</v>
      </c>
      <c r="C25" s="371" t="s">
        <v>137</v>
      </c>
      <c r="D25" s="371" t="s">
        <v>238</v>
      </c>
      <c r="E25" s="11">
        <v>44270</v>
      </c>
      <c r="F25" s="11">
        <v>44363</v>
      </c>
      <c r="G25" s="3" t="s">
        <v>42</v>
      </c>
      <c r="H25" s="4"/>
      <c r="I25" s="4"/>
      <c r="J25" s="4"/>
    </row>
    <row r="26" spans="1:10">
      <c r="A26" s="389"/>
      <c r="B26" s="372"/>
      <c r="C26" s="372" t="s">
        <v>137</v>
      </c>
      <c r="D26" s="372" t="s">
        <v>238</v>
      </c>
      <c r="E26" s="11">
        <v>44270</v>
      </c>
      <c r="F26" s="11">
        <v>44363</v>
      </c>
      <c r="G26" s="3" t="s">
        <v>43</v>
      </c>
      <c r="H26" s="4"/>
      <c r="I26" s="4"/>
      <c r="J26" s="4"/>
    </row>
    <row r="27" spans="1:10">
      <c r="A27" s="389"/>
      <c r="B27" s="372"/>
      <c r="C27" s="372" t="s">
        <v>137</v>
      </c>
      <c r="D27" s="372" t="s">
        <v>238</v>
      </c>
      <c r="E27" s="11">
        <v>44270</v>
      </c>
      <c r="F27" s="11">
        <v>44363</v>
      </c>
      <c r="G27" s="3" t="s">
        <v>44</v>
      </c>
      <c r="H27" s="4"/>
      <c r="I27" s="4"/>
      <c r="J27" s="4"/>
    </row>
    <row r="28" spans="1:10">
      <c r="A28" s="390"/>
      <c r="B28" s="373"/>
      <c r="C28" s="373" t="s">
        <v>137</v>
      </c>
      <c r="D28" s="373" t="s">
        <v>238</v>
      </c>
      <c r="E28" s="11">
        <v>44270</v>
      </c>
      <c r="F28" s="11">
        <v>44363</v>
      </c>
      <c r="G28" s="3" t="s">
        <v>45</v>
      </c>
      <c r="H28" s="4"/>
      <c r="I28" s="4"/>
      <c r="J28" s="4"/>
    </row>
    <row r="29" spans="1:10">
      <c r="A29" s="24" t="s">
        <v>58</v>
      </c>
      <c r="B29" s="3" t="s">
        <v>250</v>
      </c>
      <c r="C29" s="13" t="s">
        <v>137</v>
      </c>
      <c r="D29" s="13" t="s">
        <v>238</v>
      </c>
      <c r="E29" s="11">
        <v>44263</v>
      </c>
      <c r="F29" s="11">
        <v>44358</v>
      </c>
      <c r="G29" s="3" t="s">
        <v>60</v>
      </c>
      <c r="H29" s="4"/>
      <c r="I29" s="4"/>
      <c r="J29" s="4"/>
    </row>
    <row r="30" spans="1:10">
      <c r="A30" s="24" t="s">
        <v>58</v>
      </c>
      <c r="B30" s="3" t="s">
        <v>251</v>
      </c>
      <c r="C30" s="13" t="s">
        <v>137</v>
      </c>
      <c r="D30" s="13" t="s">
        <v>238</v>
      </c>
      <c r="E30" s="11">
        <v>44263</v>
      </c>
      <c r="F30" s="11">
        <v>44393</v>
      </c>
      <c r="G30" s="3" t="s">
        <v>60</v>
      </c>
      <c r="H30" s="4"/>
      <c r="I30" s="4"/>
      <c r="J30" s="4"/>
    </row>
  </sheetData>
  <autoFilter ref="A1:J1" xr:uid="{00000000-0001-0000-0500-000000000000}"/>
  <mergeCells count="24">
    <mergeCell ref="C25:C28"/>
    <mergeCell ref="D25:D28"/>
    <mergeCell ref="C13:C17"/>
    <mergeCell ref="D13:D17"/>
    <mergeCell ref="C18:C21"/>
    <mergeCell ref="D18:D21"/>
    <mergeCell ref="C22:C24"/>
    <mergeCell ref="D22:D24"/>
    <mergeCell ref="B13:B17"/>
    <mergeCell ref="A13:A17"/>
    <mergeCell ref="A18:A21"/>
    <mergeCell ref="A22:A24"/>
    <mergeCell ref="A25:A28"/>
    <mergeCell ref="B25:B28"/>
    <mergeCell ref="B22:B24"/>
    <mergeCell ref="B18:B21"/>
    <mergeCell ref="A3:A4"/>
    <mergeCell ref="B3:B4"/>
    <mergeCell ref="C3:C4"/>
    <mergeCell ref="D3:D4"/>
    <mergeCell ref="A10:A11"/>
    <mergeCell ref="B10:B11"/>
    <mergeCell ref="C10:C11"/>
    <mergeCell ref="D10:D11"/>
  </mergeCells>
  <phoneticPr fontId="1" type="noConversion"/>
  <conditionalFormatting sqref="E2:E3">
    <cfRule type="expression" dxfId="10" priority="1">
      <formula>(E2-D2)&lt;61</formula>
    </cfRule>
  </conditionalFormatting>
  <conditionalFormatting sqref="E5:E8">
    <cfRule type="expression" dxfId="9" priority="2">
      <formula>(E5-D5)&lt;61</formula>
    </cfRule>
  </conditionalFormatting>
  <conditionalFormatting sqref="F2:F8">
    <cfRule type="expression" dxfId="8" priority="5">
      <formula>(F2-E2)&lt;61</formula>
    </cfRule>
  </conditionalFormatting>
  <dataValidations count="1">
    <dataValidation type="list" allowBlank="1" showInputMessage="1" showErrorMessage="1" sqref="A2:A3 A5:A10 A12:A13 A18 A22 A25 A29:A100" xr:uid="{00000000-0002-0000-0500-000000000000}">
      <formula1>"POST,HNCB,FCB,BOT,NET"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/>
  </sheetPr>
  <dimension ref="A1:J39"/>
  <sheetViews>
    <sheetView zoomScale="80" zoomScaleNormal="80" workbookViewId="0">
      <selection activeCell="G17" sqref="G17"/>
    </sheetView>
  </sheetViews>
  <sheetFormatPr defaultColWidth="10.81640625" defaultRowHeight="17"/>
  <cols>
    <col min="1" max="1" width="10.81640625" style="2"/>
    <col min="2" max="2" width="30.36328125" style="1" customWidth="1"/>
    <col min="3" max="4" width="12.81640625" style="1" customWidth="1"/>
    <col min="5" max="6" width="16.08984375" style="1" customWidth="1"/>
    <col min="7" max="7" width="18.453125" style="1" customWidth="1"/>
    <col min="8" max="9" width="14.08984375" style="1" customWidth="1"/>
    <col min="10" max="10" width="37.453125" style="1" customWidth="1"/>
  </cols>
  <sheetData>
    <row r="1" spans="1:10">
      <c r="A1" s="20" t="s">
        <v>0</v>
      </c>
      <c r="B1" s="20" t="s">
        <v>1</v>
      </c>
      <c r="C1" s="20" t="s">
        <v>2</v>
      </c>
      <c r="D1" s="20" t="s">
        <v>3</v>
      </c>
      <c r="E1" s="20" t="s">
        <v>8</v>
      </c>
      <c r="F1" s="20" t="s">
        <v>9</v>
      </c>
      <c r="G1" s="20" t="s">
        <v>4</v>
      </c>
      <c r="H1" s="20" t="s">
        <v>5</v>
      </c>
      <c r="I1" s="20" t="s">
        <v>6</v>
      </c>
      <c r="J1" s="20" t="s">
        <v>7</v>
      </c>
    </row>
    <row r="2" spans="1:10">
      <c r="A2" s="385" t="s">
        <v>10</v>
      </c>
      <c r="B2" s="458" t="s">
        <v>252</v>
      </c>
      <c r="C2" s="371" t="s">
        <v>137</v>
      </c>
      <c r="D2" s="371" t="s">
        <v>253</v>
      </c>
      <c r="E2" s="11">
        <v>44355</v>
      </c>
      <c r="F2" s="11">
        <v>44442</v>
      </c>
      <c r="G2" s="3" t="s">
        <v>144</v>
      </c>
      <c r="H2" s="4"/>
      <c r="I2" s="4"/>
      <c r="J2" s="4"/>
    </row>
    <row r="3" spans="1:10">
      <c r="A3" s="386" t="s">
        <v>10</v>
      </c>
      <c r="B3" s="459"/>
      <c r="C3" s="373" t="s">
        <v>137</v>
      </c>
      <c r="D3" s="373" t="s">
        <v>253</v>
      </c>
      <c r="E3" s="11">
        <v>44355</v>
      </c>
      <c r="F3" s="11">
        <v>44442</v>
      </c>
      <c r="G3" s="3" t="s">
        <v>147</v>
      </c>
      <c r="H3" s="4"/>
      <c r="I3" s="4"/>
      <c r="J3" s="4"/>
    </row>
    <row r="4" spans="1:10">
      <c r="A4" s="385" t="s">
        <v>10</v>
      </c>
      <c r="B4" s="458" t="s">
        <v>254</v>
      </c>
      <c r="C4" s="371" t="s">
        <v>137</v>
      </c>
      <c r="D4" s="371" t="s">
        <v>253</v>
      </c>
      <c r="E4" s="11">
        <v>44375</v>
      </c>
      <c r="F4" s="11">
        <v>44446</v>
      </c>
      <c r="G4" s="3" t="s">
        <v>147</v>
      </c>
      <c r="H4" s="4"/>
      <c r="I4" s="4"/>
      <c r="J4" s="4"/>
    </row>
    <row r="5" spans="1:10">
      <c r="A5" s="386" t="s">
        <v>10</v>
      </c>
      <c r="B5" s="459"/>
      <c r="C5" s="373" t="s">
        <v>137</v>
      </c>
      <c r="D5" s="373" t="s">
        <v>253</v>
      </c>
      <c r="E5" s="11">
        <v>44375</v>
      </c>
      <c r="F5" s="11">
        <v>44446</v>
      </c>
      <c r="G5" s="3" t="s">
        <v>139</v>
      </c>
      <c r="H5" s="4"/>
      <c r="I5" s="4"/>
      <c r="J5" s="4"/>
    </row>
    <row r="6" spans="1:10">
      <c r="A6" s="18" t="s">
        <v>10</v>
      </c>
      <c r="B6" s="3" t="s">
        <v>255</v>
      </c>
      <c r="C6" s="3" t="s">
        <v>137</v>
      </c>
      <c r="D6" s="3" t="s">
        <v>253</v>
      </c>
      <c r="E6" s="11">
        <v>44334</v>
      </c>
      <c r="F6" s="11">
        <v>44403</v>
      </c>
      <c r="G6" s="3" t="s">
        <v>139</v>
      </c>
      <c r="H6" s="4"/>
      <c r="I6" s="4"/>
      <c r="J6" s="4"/>
    </row>
    <row r="7" spans="1:10">
      <c r="A7" s="385" t="s">
        <v>10</v>
      </c>
      <c r="B7" s="458" t="s">
        <v>256</v>
      </c>
      <c r="C7" s="371" t="s">
        <v>137</v>
      </c>
      <c r="D7" s="371" t="s">
        <v>253</v>
      </c>
      <c r="E7" s="11">
        <v>44375</v>
      </c>
      <c r="F7" s="11"/>
      <c r="G7" s="3" t="s">
        <v>147</v>
      </c>
      <c r="H7" s="4"/>
      <c r="I7" s="4"/>
      <c r="J7" s="4"/>
    </row>
    <row r="8" spans="1:10">
      <c r="A8" s="386" t="s">
        <v>10</v>
      </c>
      <c r="B8" s="459"/>
      <c r="C8" s="373" t="s">
        <v>137</v>
      </c>
      <c r="D8" s="373" t="s">
        <v>253</v>
      </c>
      <c r="E8" s="11">
        <v>44309</v>
      </c>
      <c r="F8" s="11">
        <v>44375</v>
      </c>
      <c r="G8" s="3" t="s">
        <v>139</v>
      </c>
      <c r="H8" s="4"/>
      <c r="I8" s="4"/>
      <c r="J8" s="4"/>
    </row>
    <row r="9" spans="1:10">
      <c r="A9" s="385" t="s">
        <v>10</v>
      </c>
      <c r="B9" s="458" t="s">
        <v>257</v>
      </c>
      <c r="C9" s="371" t="s">
        <v>137</v>
      </c>
      <c r="D9" s="371" t="s">
        <v>253</v>
      </c>
      <c r="E9" s="11">
        <v>44403</v>
      </c>
      <c r="F9" s="11"/>
      <c r="G9" s="3" t="s">
        <v>147</v>
      </c>
      <c r="H9" s="4"/>
      <c r="I9" s="4"/>
      <c r="J9" s="4"/>
    </row>
    <row r="10" spans="1:10">
      <c r="A10" s="386" t="s">
        <v>10</v>
      </c>
      <c r="B10" s="459"/>
      <c r="C10" s="373" t="s">
        <v>137</v>
      </c>
      <c r="D10" s="373" t="s">
        <v>253</v>
      </c>
      <c r="E10" s="11">
        <v>44313</v>
      </c>
      <c r="F10" s="11">
        <v>44403</v>
      </c>
      <c r="G10" s="3" t="s">
        <v>139</v>
      </c>
      <c r="H10" s="4"/>
      <c r="I10" s="4"/>
      <c r="J10" s="4"/>
    </row>
    <row r="11" spans="1:10">
      <c r="A11" s="385" t="s">
        <v>10</v>
      </c>
      <c r="B11" s="458" t="s">
        <v>258</v>
      </c>
      <c r="C11" s="371" t="s">
        <v>137</v>
      </c>
      <c r="D11" s="371" t="s">
        <v>253</v>
      </c>
      <c r="E11" s="11">
        <v>44375</v>
      </c>
      <c r="F11" s="11"/>
      <c r="G11" s="3" t="s">
        <v>147</v>
      </c>
      <c r="H11" s="4"/>
      <c r="I11" s="4"/>
      <c r="J11" s="4"/>
    </row>
    <row r="12" spans="1:10">
      <c r="A12" s="386"/>
      <c r="B12" s="459"/>
      <c r="C12" s="373" t="s">
        <v>137</v>
      </c>
      <c r="D12" s="373" t="s">
        <v>253</v>
      </c>
      <c r="E12" s="11">
        <v>44313</v>
      </c>
      <c r="F12" s="11"/>
      <c r="G12" s="3" t="s">
        <v>139</v>
      </c>
      <c r="H12" s="4"/>
      <c r="I12" s="4"/>
      <c r="J12" s="4"/>
    </row>
    <row r="13" spans="1:10">
      <c r="A13" s="18" t="s">
        <v>10</v>
      </c>
      <c r="B13" s="3" t="s">
        <v>259</v>
      </c>
      <c r="C13" s="3" t="s">
        <v>137</v>
      </c>
      <c r="D13" s="3" t="s">
        <v>253</v>
      </c>
      <c r="E13" s="11">
        <v>44334</v>
      </c>
      <c r="F13" s="11">
        <v>44403</v>
      </c>
      <c r="G13" s="3" t="s">
        <v>139</v>
      </c>
      <c r="H13" s="4"/>
      <c r="I13" s="4"/>
      <c r="J13" s="4"/>
    </row>
    <row r="14" spans="1:10">
      <c r="A14" s="18" t="s">
        <v>10</v>
      </c>
      <c r="B14" s="3" t="s">
        <v>260</v>
      </c>
      <c r="C14" s="3" t="s">
        <v>137</v>
      </c>
      <c r="D14" s="3" t="s">
        <v>253</v>
      </c>
      <c r="E14" s="11">
        <v>44334</v>
      </c>
      <c r="F14" s="11">
        <v>44403</v>
      </c>
      <c r="G14" s="3" t="s">
        <v>139</v>
      </c>
      <c r="H14" s="4"/>
      <c r="I14" s="4"/>
      <c r="J14" s="4"/>
    </row>
    <row r="15" spans="1:10">
      <c r="A15" s="19" t="s">
        <v>24</v>
      </c>
      <c r="B15" s="3" t="s">
        <v>261</v>
      </c>
      <c r="C15" s="13" t="s">
        <v>137</v>
      </c>
      <c r="D15" s="13" t="s">
        <v>253</v>
      </c>
      <c r="E15" s="11">
        <v>44446</v>
      </c>
      <c r="F15" s="11">
        <v>44504</v>
      </c>
      <c r="G15" s="3" t="s">
        <v>123</v>
      </c>
      <c r="H15" s="4"/>
      <c r="I15" s="4"/>
      <c r="J15" s="4"/>
    </row>
    <row r="16" spans="1:10">
      <c r="A16" s="19" t="s">
        <v>24</v>
      </c>
      <c r="B16" s="3" t="s">
        <v>271</v>
      </c>
      <c r="C16" s="13" t="s">
        <v>137</v>
      </c>
      <c r="D16" s="13" t="s">
        <v>253</v>
      </c>
      <c r="E16" s="11">
        <v>44273</v>
      </c>
      <c r="F16" s="11"/>
      <c r="G16" s="3" t="s">
        <v>123</v>
      </c>
      <c r="H16" s="4"/>
      <c r="I16" s="4"/>
      <c r="J16" s="4"/>
    </row>
    <row r="17" spans="1:10">
      <c r="A17" s="19" t="s">
        <v>24</v>
      </c>
      <c r="B17" s="3" t="s">
        <v>262</v>
      </c>
      <c r="C17" s="13" t="s">
        <v>137</v>
      </c>
      <c r="D17" s="13" t="s">
        <v>253</v>
      </c>
      <c r="E17" s="11">
        <v>44274</v>
      </c>
      <c r="F17" s="11"/>
      <c r="G17" s="3" t="s">
        <v>123</v>
      </c>
      <c r="H17" s="4"/>
      <c r="I17" s="4"/>
      <c r="J17" s="4"/>
    </row>
    <row r="18" spans="1:10">
      <c r="A18" s="434" t="s">
        <v>24</v>
      </c>
      <c r="B18" s="371" t="s">
        <v>263</v>
      </c>
      <c r="C18" s="371" t="s">
        <v>137</v>
      </c>
      <c r="D18" s="371" t="s">
        <v>253</v>
      </c>
      <c r="E18" s="11">
        <v>44270</v>
      </c>
      <c r="F18" s="11"/>
      <c r="G18" s="3" t="s">
        <v>183</v>
      </c>
      <c r="H18" s="4"/>
      <c r="I18" s="4"/>
      <c r="J18" s="4"/>
    </row>
    <row r="19" spans="1:10">
      <c r="A19" s="436"/>
      <c r="B19" s="373"/>
      <c r="C19" s="373" t="s">
        <v>137</v>
      </c>
      <c r="D19" s="373" t="s">
        <v>253</v>
      </c>
      <c r="E19" s="11">
        <v>44270</v>
      </c>
      <c r="F19" s="11"/>
      <c r="G19" s="3" t="s">
        <v>123</v>
      </c>
      <c r="H19" s="4"/>
      <c r="I19" s="4"/>
      <c r="J19" s="4"/>
    </row>
    <row r="20" spans="1:10">
      <c r="A20" s="388" t="s">
        <v>37</v>
      </c>
      <c r="B20" s="371" t="s">
        <v>264</v>
      </c>
      <c r="C20" s="371" t="s">
        <v>137</v>
      </c>
      <c r="D20" s="371" t="s">
        <v>253</v>
      </c>
      <c r="E20" s="11">
        <v>44309</v>
      </c>
      <c r="F20" s="11">
        <v>44375</v>
      </c>
      <c r="G20" s="3" t="s">
        <v>159</v>
      </c>
      <c r="H20" s="4"/>
      <c r="I20" s="4"/>
      <c r="J20" s="4"/>
    </row>
    <row r="21" spans="1:10">
      <c r="A21" s="389"/>
      <c r="B21" s="372"/>
      <c r="C21" s="372" t="s">
        <v>137</v>
      </c>
      <c r="D21" s="372" t="s">
        <v>253</v>
      </c>
      <c r="E21" s="11">
        <v>44309</v>
      </c>
      <c r="F21" s="11">
        <v>44375</v>
      </c>
      <c r="G21" s="3" t="s">
        <v>157</v>
      </c>
      <c r="H21" s="4"/>
      <c r="I21" s="4"/>
      <c r="J21" s="4"/>
    </row>
    <row r="22" spans="1:10">
      <c r="A22" s="389"/>
      <c r="B22" s="372"/>
      <c r="C22" s="372" t="s">
        <v>137</v>
      </c>
      <c r="D22" s="372" t="s">
        <v>253</v>
      </c>
      <c r="E22" s="11">
        <v>44309</v>
      </c>
      <c r="F22" s="11">
        <v>44375</v>
      </c>
      <c r="G22" s="3" t="s">
        <v>157</v>
      </c>
      <c r="H22" s="4"/>
      <c r="I22" s="4"/>
      <c r="J22" s="4"/>
    </row>
    <row r="23" spans="1:10">
      <c r="A23" s="389"/>
      <c r="B23" s="372"/>
      <c r="C23" s="372" t="s">
        <v>137</v>
      </c>
      <c r="D23" s="372" t="s">
        <v>253</v>
      </c>
      <c r="E23" s="11">
        <v>44309</v>
      </c>
      <c r="F23" s="11">
        <v>44375</v>
      </c>
      <c r="G23" s="3" t="s">
        <v>135</v>
      </c>
      <c r="H23" s="4"/>
      <c r="I23" s="4"/>
      <c r="J23" s="4"/>
    </row>
    <row r="24" spans="1:10">
      <c r="A24" s="390"/>
      <c r="B24" s="373"/>
      <c r="C24" s="373" t="s">
        <v>137</v>
      </c>
      <c r="D24" s="373" t="s">
        <v>253</v>
      </c>
      <c r="E24" s="11">
        <v>44309</v>
      </c>
      <c r="F24" s="11">
        <v>44375</v>
      </c>
      <c r="G24" s="3" t="s">
        <v>158</v>
      </c>
      <c r="H24" s="4"/>
      <c r="I24" s="4"/>
      <c r="J24" s="4"/>
    </row>
    <row r="25" spans="1:10">
      <c r="A25" s="388" t="s">
        <v>37</v>
      </c>
      <c r="B25" s="371" t="s">
        <v>265</v>
      </c>
      <c r="C25" s="371" t="s">
        <v>137</v>
      </c>
      <c r="D25" s="371" t="s">
        <v>253</v>
      </c>
      <c r="E25" s="11">
        <v>44309</v>
      </c>
      <c r="F25" s="11">
        <v>44389</v>
      </c>
      <c r="G25" s="3" t="s">
        <v>159</v>
      </c>
      <c r="H25" s="4"/>
      <c r="I25" s="4"/>
      <c r="J25" s="4"/>
    </row>
    <row r="26" spans="1:10">
      <c r="A26" s="389"/>
      <c r="B26" s="372"/>
      <c r="C26" s="372" t="s">
        <v>137</v>
      </c>
      <c r="D26" s="372" t="s">
        <v>253</v>
      </c>
      <c r="E26" s="11">
        <v>44309</v>
      </c>
      <c r="F26" s="11">
        <v>44389</v>
      </c>
      <c r="G26" s="3" t="s">
        <v>157</v>
      </c>
      <c r="H26" s="4"/>
      <c r="I26" s="4"/>
      <c r="J26" s="4"/>
    </row>
    <row r="27" spans="1:10">
      <c r="A27" s="389"/>
      <c r="B27" s="372"/>
      <c r="C27" s="372" t="s">
        <v>137</v>
      </c>
      <c r="D27" s="372" t="s">
        <v>253</v>
      </c>
      <c r="E27" s="11">
        <v>44309</v>
      </c>
      <c r="F27" s="11">
        <v>44389</v>
      </c>
      <c r="G27" s="3" t="s">
        <v>157</v>
      </c>
      <c r="H27" s="4"/>
      <c r="I27" s="4"/>
      <c r="J27" s="4"/>
    </row>
    <row r="28" spans="1:10">
      <c r="A28" s="389"/>
      <c r="B28" s="372"/>
      <c r="C28" s="372" t="s">
        <v>137</v>
      </c>
      <c r="D28" s="372" t="s">
        <v>253</v>
      </c>
      <c r="E28" s="11">
        <v>44309</v>
      </c>
      <c r="F28" s="11">
        <v>44389</v>
      </c>
      <c r="G28" s="3" t="s">
        <v>135</v>
      </c>
      <c r="H28" s="4"/>
      <c r="I28" s="4"/>
      <c r="J28" s="4"/>
    </row>
    <row r="29" spans="1:10">
      <c r="A29" s="390"/>
      <c r="B29" s="373"/>
      <c r="C29" s="373" t="s">
        <v>137</v>
      </c>
      <c r="D29" s="373" t="s">
        <v>253</v>
      </c>
      <c r="E29" s="11">
        <v>44309</v>
      </c>
      <c r="F29" s="11">
        <v>44389</v>
      </c>
      <c r="G29" s="3" t="s">
        <v>158</v>
      </c>
      <c r="H29" s="4"/>
      <c r="I29" s="4"/>
      <c r="J29" s="4"/>
    </row>
    <row r="30" spans="1:10">
      <c r="A30" s="388" t="s">
        <v>37</v>
      </c>
      <c r="B30" s="371" t="s">
        <v>266</v>
      </c>
      <c r="C30" s="371" t="s">
        <v>137</v>
      </c>
      <c r="D30" s="371" t="s">
        <v>253</v>
      </c>
      <c r="E30" s="11">
        <v>44309</v>
      </c>
      <c r="F30" s="11">
        <v>44389</v>
      </c>
      <c r="G30" s="3" t="s">
        <v>158</v>
      </c>
      <c r="H30" s="4"/>
      <c r="I30" s="4"/>
      <c r="J30" s="4"/>
    </row>
    <row r="31" spans="1:10">
      <c r="A31" s="389"/>
      <c r="B31" s="372"/>
      <c r="C31" s="372" t="s">
        <v>137</v>
      </c>
      <c r="D31" s="372" t="s">
        <v>253</v>
      </c>
      <c r="E31" s="11">
        <v>44309</v>
      </c>
      <c r="F31" s="11">
        <v>44389</v>
      </c>
      <c r="G31" s="3" t="s">
        <v>158</v>
      </c>
      <c r="H31" s="4"/>
      <c r="I31" s="4"/>
      <c r="J31" s="4"/>
    </row>
    <row r="32" spans="1:10">
      <c r="A32" s="390"/>
      <c r="B32" s="373"/>
      <c r="C32" s="373" t="s">
        <v>137</v>
      </c>
      <c r="D32" s="373" t="s">
        <v>253</v>
      </c>
      <c r="E32" s="11">
        <v>44309</v>
      </c>
      <c r="F32" s="11">
        <v>44389</v>
      </c>
      <c r="G32" s="3" t="s">
        <v>198</v>
      </c>
      <c r="H32" s="4"/>
      <c r="I32" s="4"/>
      <c r="J32" s="34" t="s">
        <v>304</v>
      </c>
    </row>
    <row r="33" spans="1:10">
      <c r="A33" s="388" t="s">
        <v>37</v>
      </c>
      <c r="B33" s="371" t="s">
        <v>267</v>
      </c>
      <c r="C33" s="371" t="s">
        <v>137</v>
      </c>
      <c r="D33" s="371" t="s">
        <v>253</v>
      </c>
      <c r="E33" s="11">
        <v>44309</v>
      </c>
      <c r="F33" s="11">
        <v>44389</v>
      </c>
      <c r="G33" s="3" t="s">
        <v>159</v>
      </c>
      <c r="H33" s="4"/>
      <c r="I33" s="4"/>
      <c r="J33" s="4"/>
    </row>
    <row r="34" spans="1:10">
      <c r="A34" s="389"/>
      <c r="B34" s="372"/>
      <c r="C34" s="372" t="s">
        <v>137</v>
      </c>
      <c r="D34" s="372" t="s">
        <v>253</v>
      </c>
      <c r="E34" s="11">
        <v>44309</v>
      </c>
      <c r="F34" s="11">
        <v>44389</v>
      </c>
      <c r="G34" s="3" t="s">
        <v>135</v>
      </c>
      <c r="H34" s="4"/>
      <c r="I34" s="4"/>
      <c r="J34" s="4"/>
    </row>
    <row r="35" spans="1:10">
      <c r="A35" s="390"/>
      <c r="B35" s="373"/>
      <c r="C35" s="373" t="s">
        <v>137</v>
      </c>
      <c r="D35" s="373" t="s">
        <v>253</v>
      </c>
      <c r="E35" s="11">
        <v>44309</v>
      </c>
      <c r="F35" s="11">
        <v>44389</v>
      </c>
      <c r="G35" s="3" t="s">
        <v>158</v>
      </c>
      <c r="H35" s="4"/>
      <c r="I35" s="4"/>
      <c r="J35" s="4"/>
    </row>
    <row r="36" spans="1:10">
      <c r="A36" s="24" t="s">
        <v>58</v>
      </c>
      <c r="B36" s="3" t="s">
        <v>268</v>
      </c>
      <c r="C36" s="13" t="s">
        <v>137</v>
      </c>
      <c r="D36" s="13" t="s">
        <v>253</v>
      </c>
      <c r="E36" s="11">
        <v>44334</v>
      </c>
      <c r="F36" s="11">
        <v>44434</v>
      </c>
      <c r="G36" s="3" t="s">
        <v>161</v>
      </c>
      <c r="H36" s="4"/>
      <c r="I36" s="4"/>
      <c r="J36" s="4"/>
    </row>
    <row r="37" spans="1:10">
      <c r="A37" s="24" t="s">
        <v>58</v>
      </c>
      <c r="B37" s="3" t="s">
        <v>269</v>
      </c>
      <c r="C37" s="13" t="s">
        <v>137</v>
      </c>
      <c r="D37" s="13" t="s">
        <v>253</v>
      </c>
      <c r="E37" s="11">
        <v>44334</v>
      </c>
      <c r="F37" s="11">
        <v>44431</v>
      </c>
      <c r="G37" s="3" t="s">
        <v>161</v>
      </c>
      <c r="H37" s="4"/>
      <c r="I37" s="4"/>
      <c r="J37" s="4"/>
    </row>
    <row r="38" spans="1:10">
      <c r="A38" s="24" t="s">
        <v>58</v>
      </c>
      <c r="B38" s="3" t="s">
        <v>270</v>
      </c>
      <c r="C38" s="13" t="s">
        <v>137</v>
      </c>
      <c r="D38" s="13" t="s">
        <v>253</v>
      </c>
      <c r="E38" s="11">
        <v>44334</v>
      </c>
      <c r="F38" s="11">
        <v>44434</v>
      </c>
      <c r="G38" s="3" t="s">
        <v>161</v>
      </c>
      <c r="H38" s="4"/>
      <c r="I38" s="4"/>
      <c r="J38" s="4"/>
    </row>
    <row r="39" spans="1:10">
      <c r="A39" s="27" t="s">
        <v>303</v>
      </c>
      <c r="B39" s="3" t="s">
        <v>272</v>
      </c>
      <c r="C39" s="13" t="s">
        <v>137</v>
      </c>
      <c r="D39" s="13" t="s">
        <v>253</v>
      </c>
      <c r="E39" s="26">
        <v>44251</v>
      </c>
      <c r="F39" s="26">
        <v>44427</v>
      </c>
      <c r="G39" s="3" t="s">
        <v>273</v>
      </c>
      <c r="H39" s="3"/>
      <c r="I39" s="3"/>
      <c r="J39" s="3" t="s">
        <v>301</v>
      </c>
    </row>
  </sheetData>
  <autoFilter ref="A1:J1" xr:uid="{00000000-0001-0000-0600-000000000000}"/>
  <mergeCells count="40">
    <mergeCell ref="C33:C35"/>
    <mergeCell ref="D33:D35"/>
    <mergeCell ref="C20:C24"/>
    <mergeCell ref="D20:D24"/>
    <mergeCell ref="C25:C29"/>
    <mergeCell ref="D25:D29"/>
    <mergeCell ref="C30:C32"/>
    <mergeCell ref="D30:D32"/>
    <mergeCell ref="A20:A24"/>
    <mergeCell ref="A25:A29"/>
    <mergeCell ref="A30:A32"/>
    <mergeCell ref="A33:A35"/>
    <mergeCell ref="B20:B24"/>
    <mergeCell ref="B25:B29"/>
    <mergeCell ref="B30:B32"/>
    <mergeCell ref="B33:B35"/>
    <mergeCell ref="A18:A19"/>
    <mergeCell ref="B18:B19"/>
    <mergeCell ref="C18:C19"/>
    <mergeCell ref="D18:D19"/>
    <mergeCell ref="A11:A12"/>
    <mergeCell ref="B11:B12"/>
    <mergeCell ref="C2:C3"/>
    <mergeCell ref="D2:D3"/>
    <mergeCell ref="C4:C5"/>
    <mergeCell ref="D4:D5"/>
    <mergeCell ref="C7:C8"/>
    <mergeCell ref="D7:D8"/>
    <mergeCell ref="C9:C10"/>
    <mergeCell ref="D9:D10"/>
    <mergeCell ref="C11:C12"/>
    <mergeCell ref="D11:D12"/>
    <mergeCell ref="A7:A8"/>
    <mergeCell ref="A9:A10"/>
    <mergeCell ref="B9:B10"/>
    <mergeCell ref="A2:A3"/>
    <mergeCell ref="A4:A5"/>
    <mergeCell ref="B2:B3"/>
    <mergeCell ref="B4:B5"/>
    <mergeCell ref="B7:B8"/>
  </mergeCells>
  <phoneticPr fontId="1" type="noConversion"/>
  <conditionalFormatting sqref="E2:F14">
    <cfRule type="expression" dxfId="7" priority="5">
      <formula>(E2-D2)&lt;61</formula>
    </cfRule>
  </conditionalFormatting>
  <conditionalFormatting sqref="F20:F35">
    <cfRule type="expression" dxfId="6" priority="1">
      <formula>(F20-E20)&lt;61</formula>
    </cfRule>
  </conditionalFormatting>
  <dataValidations count="1">
    <dataValidation type="list" allowBlank="1" showInputMessage="1" showErrorMessage="1" sqref="A2:A11 A13:A18 A20 A25 A30 A33 A36:A100" xr:uid="{00000000-0002-0000-0600-000000000000}">
      <formula1>"POST,HNCB,FCB,BOT,NET"</formula1>
    </dataValidation>
  </dataValidation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/>
  </sheetPr>
  <dimension ref="A1:J82"/>
  <sheetViews>
    <sheetView zoomScale="81" workbookViewId="0">
      <selection activeCell="I14" sqref="I14"/>
    </sheetView>
  </sheetViews>
  <sheetFormatPr defaultColWidth="10.81640625" defaultRowHeight="17"/>
  <cols>
    <col min="1" max="1" width="10.81640625" style="2"/>
    <col min="2" max="2" width="19.6328125" style="2" customWidth="1"/>
    <col min="3" max="4" width="12.81640625" style="2" customWidth="1"/>
    <col min="5" max="6" width="16.08984375" style="2" customWidth="1"/>
    <col min="7" max="7" width="18.453125" style="2" customWidth="1"/>
    <col min="8" max="9" width="14.08984375" style="2" customWidth="1"/>
    <col min="10" max="10" width="32.6328125" style="1" customWidth="1"/>
  </cols>
  <sheetData>
    <row r="1" spans="1:10">
      <c r="A1" s="20" t="s">
        <v>0</v>
      </c>
      <c r="B1" s="20" t="s">
        <v>1</v>
      </c>
      <c r="C1" s="20" t="s">
        <v>2</v>
      </c>
      <c r="D1" s="20" t="s">
        <v>3</v>
      </c>
      <c r="E1" s="20" t="s">
        <v>8</v>
      </c>
      <c r="F1" s="20" t="s">
        <v>9</v>
      </c>
      <c r="G1" s="20" t="s">
        <v>4</v>
      </c>
      <c r="H1" s="20" t="s">
        <v>5</v>
      </c>
      <c r="I1" s="20" t="s">
        <v>6</v>
      </c>
      <c r="J1" s="20" t="s">
        <v>7</v>
      </c>
    </row>
    <row r="2" spans="1:10">
      <c r="A2" s="385" t="s">
        <v>162</v>
      </c>
      <c r="B2" s="371" t="s">
        <v>163</v>
      </c>
      <c r="C2" s="371" t="s">
        <v>137</v>
      </c>
      <c r="D2" s="371" t="s">
        <v>164</v>
      </c>
      <c r="E2" s="11">
        <v>44398</v>
      </c>
      <c r="F2" s="28">
        <v>44481</v>
      </c>
      <c r="G2" s="3" t="s">
        <v>77</v>
      </c>
      <c r="H2" s="3"/>
      <c r="I2" s="3"/>
      <c r="J2" s="4"/>
    </row>
    <row r="3" spans="1:10">
      <c r="A3" s="386"/>
      <c r="B3" s="373"/>
      <c r="C3" s="373"/>
      <c r="D3" s="373"/>
      <c r="E3" s="11">
        <v>44398</v>
      </c>
      <c r="F3" s="28">
        <v>44481</v>
      </c>
      <c r="G3" s="3" t="s">
        <v>23</v>
      </c>
      <c r="H3" s="3"/>
      <c r="I3" s="3"/>
      <c r="J3" s="4"/>
    </row>
    <row r="4" spans="1:10">
      <c r="A4" s="18" t="s">
        <v>162</v>
      </c>
      <c r="B4" s="3" t="s">
        <v>165</v>
      </c>
      <c r="C4" s="3" t="s">
        <v>137</v>
      </c>
      <c r="D4" s="3" t="s">
        <v>164</v>
      </c>
      <c r="E4" s="11">
        <v>44399</v>
      </c>
      <c r="F4" s="28">
        <v>44481</v>
      </c>
      <c r="G4" s="3" t="s">
        <v>21</v>
      </c>
      <c r="H4" s="3"/>
      <c r="I4" s="3"/>
      <c r="J4" s="4"/>
    </row>
    <row r="5" spans="1:10">
      <c r="A5" s="385" t="s">
        <v>162</v>
      </c>
      <c r="B5" s="371" t="s">
        <v>166</v>
      </c>
      <c r="C5" s="371" t="s">
        <v>137</v>
      </c>
      <c r="D5" s="371" t="s">
        <v>164</v>
      </c>
      <c r="E5" s="11">
        <v>44358</v>
      </c>
      <c r="F5" s="28">
        <v>44455</v>
      </c>
      <c r="G5" s="3" t="s">
        <v>21</v>
      </c>
      <c r="H5" s="3"/>
      <c r="I5" s="3"/>
      <c r="J5" s="4"/>
    </row>
    <row r="6" spans="1:10">
      <c r="A6" s="386" t="s">
        <v>162</v>
      </c>
      <c r="B6" s="373" t="s">
        <v>166</v>
      </c>
      <c r="C6" s="373" t="s">
        <v>137</v>
      </c>
      <c r="D6" s="373" t="s">
        <v>164</v>
      </c>
      <c r="E6" s="11">
        <v>44358</v>
      </c>
      <c r="F6" s="28">
        <v>44455</v>
      </c>
      <c r="G6" s="3" t="s">
        <v>147</v>
      </c>
      <c r="H6" s="3"/>
      <c r="I6" s="3"/>
      <c r="J6" s="4"/>
    </row>
    <row r="7" spans="1:10">
      <c r="A7" s="18" t="s">
        <v>162</v>
      </c>
      <c r="B7" s="3" t="s">
        <v>167</v>
      </c>
      <c r="C7" s="3" t="s">
        <v>137</v>
      </c>
      <c r="D7" s="3" t="s">
        <v>164</v>
      </c>
      <c r="E7" s="11">
        <v>44390</v>
      </c>
      <c r="F7" s="28">
        <v>44462</v>
      </c>
      <c r="G7" s="3" t="s">
        <v>139</v>
      </c>
      <c r="H7" s="3"/>
      <c r="I7" s="3"/>
      <c r="J7" s="4"/>
    </row>
    <row r="8" spans="1:10">
      <c r="A8" s="18" t="s">
        <v>162</v>
      </c>
      <c r="B8" s="3" t="s">
        <v>168</v>
      </c>
      <c r="C8" s="3" t="s">
        <v>137</v>
      </c>
      <c r="D8" s="3" t="s">
        <v>164</v>
      </c>
      <c r="E8" s="11">
        <v>44404</v>
      </c>
      <c r="F8" s="28">
        <v>44475</v>
      </c>
      <c r="G8" s="3" t="s">
        <v>139</v>
      </c>
      <c r="H8" s="3"/>
      <c r="I8" s="3"/>
      <c r="J8" s="4"/>
    </row>
    <row r="9" spans="1:10">
      <c r="A9" s="18" t="s">
        <v>162</v>
      </c>
      <c r="B9" s="3" t="s">
        <v>169</v>
      </c>
      <c r="C9" s="3" t="s">
        <v>137</v>
      </c>
      <c r="D9" s="3" t="s">
        <v>164</v>
      </c>
      <c r="E9" s="11">
        <v>44344</v>
      </c>
      <c r="F9" s="28">
        <v>44481</v>
      </c>
      <c r="G9" s="3" t="s">
        <v>21</v>
      </c>
      <c r="H9" s="3"/>
      <c r="I9" s="3"/>
      <c r="J9" s="4"/>
    </row>
    <row r="10" spans="1:10">
      <c r="A10" s="385" t="s">
        <v>162</v>
      </c>
      <c r="B10" s="371" t="s">
        <v>170</v>
      </c>
      <c r="C10" s="371" t="s">
        <v>137</v>
      </c>
      <c r="D10" s="371" t="s">
        <v>164</v>
      </c>
      <c r="E10" s="11">
        <v>44390</v>
      </c>
      <c r="F10" s="460">
        <v>44463</v>
      </c>
      <c r="G10" s="3" t="s">
        <v>139</v>
      </c>
      <c r="H10" s="3"/>
      <c r="I10" s="3"/>
      <c r="J10" s="4"/>
    </row>
    <row r="11" spans="1:10">
      <c r="A11" s="386" t="s">
        <v>162</v>
      </c>
      <c r="B11" s="373" t="s">
        <v>170</v>
      </c>
      <c r="C11" s="373" t="s">
        <v>137</v>
      </c>
      <c r="D11" s="373" t="s">
        <v>164</v>
      </c>
      <c r="E11" s="11">
        <v>44390</v>
      </c>
      <c r="F11" s="461"/>
      <c r="G11" s="3" t="s">
        <v>23</v>
      </c>
      <c r="H11" s="3"/>
      <c r="I11" s="3"/>
      <c r="J11" s="4"/>
    </row>
    <row r="12" spans="1:10">
      <c r="A12" s="18" t="s">
        <v>162</v>
      </c>
      <c r="B12" s="3" t="s">
        <v>171</v>
      </c>
      <c r="C12" s="3" t="s">
        <v>137</v>
      </c>
      <c r="D12" s="3" t="s">
        <v>164</v>
      </c>
      <c r="E12" s="11">
        <v>44391</v>
      </c>
      <c r="F12" s="28">
        <v>44463</v>
      </c>
      <c r="G12" s="3" t="s">
        <v>75</v>
      </c>
      <c r="H12" s="3"/>
      <c r="I12" s="3"/>
      <c r="J12" s="4"/>
    </row>
    <row r="13" spans="1:10">
      <c r="A13" s="18" t="s">
        <v>162</v>
      </c>
      <c r="B13" s="3" t="s">
        <v>172</v>
      </c>
      <c r="C13" s="3" t="s">
        <v>137</v>
      </c>
      <c r="D13" s="3" t="s">
        <v>164</v>
      </c>
      <c r="E13" s="11">
        <v>44383</v>
      </c>
      <c r="F13" s="28">
        <v>44462</v>
      </c>
      <c r="G13" s="3" t="s">
        <v>23</v>
      </c>
      <c r="H13" s="3"/>
      <c r="I13" s="3"/>
      <c r="J13" s="4"/>
    </row>
    <row r="14" spans="1:10">
      <c r="A14" s="385" t="s">
        <v>162</v>
      </c>
      <c r="B14" s="371" t="s">
        <v>173</v>
      </c>
      <c r="C14" s="371" t="s">
        <v>137</v>
      </c>
      <c r="D14" s="371" t="s">
        <v>164</v>
      </c>
      <c r="E14" s="11">
        <v>44383</v>
      </c>
      <c r="F14" s="460">
        <v>44462</v>
      </c>
      <c r="G14" s="3" t="s">
        <v>139</v>
      </c>
      <c r="H14" s="3"/>
      <c r="I14" s="3"/>
      <c r="J14" s="4"/>
    </row>
    <row r="15" spans="1:10">
      <c r="A15" s="386" t="s">
        <v>162</v>
      </c>
      <c r="B15" s="373" t="s">
        <v>173</v>
      </c>
      <c r="C15" s="373" t="s">
        <v>137</v>
      </c>
      <c r="D15" s="373" t="s">
        <v>164</v>
      </c>
      <c r="E15" s="11">
        <v>44383</v>
      </c>
      <c r="F15" s="461"/>
      <c r="G15" s="3" t="s">
        <v>147</v>
      </c>
      <c r="H15" s="3"/>
      <c r="I15" s="3"/>
      <c r="J15" s="4"/>
    </row>
    <row r="16" spans="1:10">
      <c r="A16" s="18" t="s">
        <v>162</v>
      </c>
      <c r="B16" s="3" t="s">
        <v>174</v>
      </c>
      <c r="C16" s="3" t="s">
        <v>137</v>
      </c>
      <c r="D16" s="3" t="s">
        <v>164</v>
      </c>
      <c r="E16" s="11">
        <v>44383</v>
      </c>
      <c r="F16" s="28">
        <v>44462</v>
      </c>
      <c r="G16" s="3" t="s">
        <v>23</v>
      </c>
      <c r="H16" s="3"/>
      <c r="I16" s="3"/>
      <c r="J16" s="4"/>
    </row>
    <row r="17" spans="1:10">
      <c r="A17" s="18" t="s">
        <v>162</v>
      </c>
      <c r="B17" s="3" t="s">
        <v>175</v>
      </c>
      <c r="C17" s="3" t="s">
        <v>137</v>
      </c>
      <c r="D17" s="3" t="s">
        <v>164</v>
      </c>
      <c r="E17" s="11">
        <v>44344</v>
      </c>
      <c r="F17" s="28">
        <v>44491</v>
      </c>
      <c r="G17" s="3" t="s">
        <v>21</v>
      </c>
      <c r="H17" s="3"/>
      <c r="I17" s="3"/>
      <c r="J17" s="4"/>
    </row>
    <row r="18" spans="1:10">
      <c r="A18" s="18" t="s">
        <v>162</v>
      </c>
      <c r="B18" s="3" t="s">
        <v>176</v>
      </c>
      <c r="C18" s="3" t="s">
        <v>137</v>
      </c>
      <c r="D18" s="3" t="s">
        <v>164</v>
      </c>
      <c r="E18" s="11">
        <v>44399</v>
      </c>
      <c r="F18" s="28">
        <v>44481</v>
      </c>
      <c r="G18" s="3" t="s">
        <v>147</v>
      </c>
      <c r="H18" s="3"/>
      <c r="I18" s="3"/>
      <c r="J18" s="4"/>
    </row>
    <row r="19" spans="1:10">
      <c r="A19" s="18" t="s">
        <v>162</v>
      </c>
      <c r="B19" s="3" t="s">
        <v>177</v>
      </c>
      <c r="C19" s="3" t="s">
        <v>137</v>
      </c>
      <c r="D19" s="3" t="s">
        <v>164</v>
      </c>
      <c r="E19" s="11">
        <v>44389</v>
      </c>
      <c r="F19" s="28">
        <v>44462</v>
      </c>
      <c r="G19" s="3" t="s">
        <v>142</v>
      </c>
      <c r="H19" s="3"/>
      <c r="I19" s="3"/>
      <c r="J19" s="4"/>
    </row>
    <row r="20" spans="1:10">
      <c r="A20" s="18" t="s">
        <v>162</v>
      </c>
      <c r="B20" s="3" t="s">
        <v>178</v>
      </c>
      <c r="C20" s="3" t="s">
        <v>137</v>
      </c>
      <c r="D20" s="3" t="s">
        <v>164</v>
      </c>
      <c r="E20" s="11">
        <v>44323</v>
      </c>
      <c r="F20" s="28">
        <v>44476</v>
      </c>
      <c r="G20" s="3" t="s">
        <v>21</v>
      </c>
      <c r="H20" s="3"/>
      <c r="I20" s="3"/>
      <c r="J20" s="4"/>
    </row>
    <row r="21" spans="1:10">
      <c r="A21" s="18" t="s">
        <v>162</v>
      </c>
      <c r="B21" s="3" t="s">
        <v>179</v>
      </c>
      <c r="C21" s="3" t="s">
        <v>137</v>
      </c>
      <c r="D21" s="3" t="s">
        <v>164</v>
      </c>
      <c r="E21" s="11">
        <v>44392</v>
      </c>
      <c r="F21" s="28">
        <v>44463</v>
      </c>
      <c r="G21" s="3" t="s">
        <v>139</v>
      </c>
      <c r="H21" s="3"/>
      <c r="I21" s="3"/>
      <c r="J21" s="4"/>
    </row>
    <row r="22" spans="1:10">
      <c r="A22" s="19" t="s">
        <v>180</v>
      </c>
      <c r="B22" s="3" t="s">
        <v>181</v>
      </c>
      <c r="C22" s="3" t="s">
        <v>137</v>
      </c>
      <c r="D22" s="3" t="s">
        <v>164</v>
      </c>
      <c r="E22" s="11">
        <v>44266</v>
      </c>
      <c r="F22" s="28">
        <v>44481</v>
      </c>
      <c r="G22" s="3" t="s">
        <v>123</v>
      </c>
      <c r="H22" s="3"/>
      <c r="I22" s="3"/>
      <c r="J22" s="4"/>
    </row>
    <row r="23" spans="1:10">
      <c r="A23" s="19" t="s">
        <v>180</v>
      </c>
      <c r="B23" s="3" t="s">
        <v>182</v>
      </c>
      <c r="C23" s="3" t="s">
        <v>137</v>
      </c>
      <c r="D23" s="3" t="s">
        <v>164</v>
      </c>
      <c r="E23" s="11">
        <v>44322</v>
      </c>
      <c r="F23" s="28">
        <v>44453</v>
      </c>
      <c r="G23" s="3" t="s">
        <v>123</v>
      </c>
      <c r="H23" s="3"/>
      <c r="I23" s="3"/>
      <c r="J23" s="4"/>
    </row>
    <row r="24" spans="1:10">
      <c r="A24" s="19" t="s">
        <v>180</v>
      </c>
      <c r="B24" s="3" t="s">
        <v>182</v>
      </c>
      <c r="C24" s="3" t="s">
        <v>137</v>
      </c>
      <c r="D24" s="3" t="s">
        <v>164</v>
      </c>
      <c r="E24" s="11">
        <v>44322</v>
      </c>
      <c r="F24" s="28">
        <v>44453</v>
      </c>
      <c r="G24" s="3" t="s">
        <v>183</v>
      </c>
      <c r="H24" s="3"/>
      <c r="I24" s="3"/>
      <c r="J24" s="4"/>
    </row>
    <row r="25" spans="1:10">
      <c r="A25" s="19" t="s">
        <v>180</v>
      </c>
      <c r="B25" s="3" t="s">
        <v>184</v>
      </c>
      <c r="C25" s="3" t="s">
        <v>137</v>
      </c>
      <c r="D25" s="3" t="s">
        <v>164</v>
      </c>
      <c r="E25" s="11">
        <v>44225</v>
      </c>
      <c r="F25" s="28">
        <v>44475</v>
      </c>
      <c r="G25" s="3" t="s">
        <v>123</v>
      </c>
      <c r="H25" s="3"/>
      <c r="I25" s="3"/>
      <c r="J25" s="4"/>
    </row>
    <row r="26" spans="1:10">
      <c r="A26" s="434" t="s">
        <v>180</v>
      </c>
      <c r="B26" s="371" t="s">
        <v>185</v>
      </c>
      <c r="C26" s="371" t="s">
        <v>137</v>
      </c>
      <c r="D26" s="371" t="s">
        <v>164</v>
      </c>
      <c r="E26" s="11">
        <v>44330</v>
      </c>
      <c r="F26" s="28">
        <v>44452</v>
      </c>
      <c r="G26" s="3" t="s">
        <v>123</v>
      </c>
      <c r="H26" s="3"/>
      <c r="I26" s="3"/>
      <c r="J26" s="4"/>
    </row>
    <row r="27" spans="1:10">
      <c r="A27" s="436" t="s">
        <v>180</v>
      </c>
      <c r="B27" s="373" t="s">
        <v>185</v>
      </c>
      <c r="C27" s="373" t="s">
        <v>137</v>
      </c>
      <c r="D27" s="373" t="s">
        <v>164</v>
      </c>
      <c r="E27" s="11">
        <v>44330</v>
      </c>
      <c r="F27" s="28">
        <v>44452</v>
      </c>
      <c r="G27" s="3" t="s">
        <v>183</v>
      </c>
      <c r="H27" s="3"/>
      <c r="I27" s="3"/>
      <c r="J27" s="4"/>
    </row>
    <row r="28" spans="1:10">
      <c r="A28" s="19" t="s">
        <v>180</v>
      </c>
      <c r="B28" s="3" t="s">
        <v>186</v>
      </c>
      <c r="C28" s="3" t="s">
        <v>137</v>
      </c>
      <c r="D28" s="3" t="s">
        <v>164</v>
      </c>
      <c r="E28" s="11">
        <v>44421</v>
      </c>
      <c r="F28" s="11"/>
      <c r="G28" s="3" t="s">
        <v>123</v>
      </c>
      <c r="H28" s="3"/>
      <c r="I28" s="3"/>
      <c r="J28" s="4"/>
    </row>
    <row r="29" spans="1:10">
      <c r="A29" s="19" t="s">
        <v>180</v>
      </c>
      <c r="B29" s="3" t="s">
        <v>187</v>
      </c>
      <c r="C29" s="3" t="s">
        <v>137</v>
      </c>
      <c r="D29" s="3" t="s">
        <v>164</v>
      </c>
      <c r="E29" s="11">
        <v>44225</v>
      </c>
      <c r="F29" s="28">
        <v>44475</v>
      </c>
      <c r="G29" s="3" t="s">
        <v>123</v>
      </c>
      <c r="H29" s="3"/>
      <c r="I29" s="3"/>
      <c r="J29" s="4"/>
    </row>
    <row r="30" spans="1:10">
      <c r="A30" s="434" t="s">
        <v>180</v>
      </c>
      <c r="B30" s="371" t="s">
        <v>188</v>
      </c>
      <c r="C30" s="371" t="s">
        <v>137</v>
      </c>
      <c r="D30" s="371" t="s">
        <v>164</v>
      </c>
      <c r="E30" s="11">
        <v>44322</v>
      </c>
      <c r="F30" s="28">
        <v>44455</v>
      </c>
      <c r="G30" s="3" t="s">
        <v>123</v>
      </c>
      <c r="H30" s="3"/>
      <c r="I30" s="3"/>
      <c r="J30" s="4"/>
    </row>
    <row r="31" spans="1:10">
      <c r="A31" s="436" t="s">
        <v>180</v>
      </c>
      <c r="B31" s="373" t="s">
        <v>188</v>
      </c>
      <c r="C31" s="373" t="s">
        <v>137</v>
      </c>
      <c r="D31" s="373" t="s">
        <v>164</v>
      </c>
      <c r="E31" s="11">
        <v>44322</v>
      </c>
      <c r="F31" s="28">
        <v>44455</v>
      </c>
      <c r="G31" s="3" t="s">
        <v>183</v>
      </c>
      <c r="H31" s="3"/>
      <c r="I31" s="3"/>
      <c r="J31" s="4"/>
    </row>
    <row r="32" spans="1:10">
      <c r="A32" s="19" t="s">
        <v>180</v>
      </c>
      <c r="B32" s="3" t="s">
        <v>189</v>
      </c>
      <c r="C32" s="3" t="s">
        <v>137</v>
      </c>
      <c r="D32" s="3" t="s">
        <v>164</v>
      </c>
      <c r="E32" s="11">
        <v>44330</v>
      </c>
      <c r="F32" s="28">
        <v>44453</v>
      </c>
      <c r="G32" s="3" t="s">
        <v>123</v>
      </c>
      <c r="H32" s="3"/>
      <c r="I32" s="3"/>
      <c r="J32" s="4"/>
    </row>
    <row r="33" spans="1:10">
      <c r="A33" s="19" t="s">
        <v>180</v>
      </c>
      <c r="B33" s="3" t="s">
        <v>190</v>
      </c>
      <c r="C33" s="3" t="s">
        <v>137</v>
      </c>
      <c r="D33" s="3" t="s">
        <v>164</v>
      </c>
      <c r="E33" s="11">
        <v>44323</v>
      </c>
      <c r="F33" s="28">
        <v>44475</v>
      </c>
      <c r="G33" s="3" t="s">
        <v>123</v>
      </c>
      <c r="H33" s="3"/>
      <c r="I33" s="3"/>
      <c r="J33" s="4"/>
    </row>
    <row r="34" spans="1:10" ht="18">
      <c r="A34" s="388" t="s">
        <v>191</v>
      </c>
      <c r="B34" s="371" t="s">
        <v>181</v>
      </c>
      <c r="C34" s="371" t="s">
        <v>137</v>
      </c>
      <c r="D34" s="371" t="s">
        <v>164</v>
      </c>
      <c r="E34" s="6">
        <v>44404</v>
      </c>
      <c r="F34" s="29"/>
      <c r="G34" s="3" t="s">
        <v>159</v>
      </c>
      <c r="H34" s="3"/>
      <c r="I34" s="3"/>
      <c r="J34" s="4"/>
    </row>
    <row r="35" spans="1:10" ht="18">
      <c r="A35" s="389" t="s">
        <v>191</v>
      </c>
      <c r="B35" s="372"/>
      <c r="C35" s="372" t="s">
        <v>137</v>
      </c>
      <c r="D35" s="372" t="s">
        <v>164</v>
      </c>
      <c r="E35" s="6">
        <v>44404</v>
      </c>
      <c r="F35" s="29"/>
      <c r="G35" s="3" t="s">
        <v>135</v>
      </c>
      <c r="H35" s="3"/>
      <c r="I35" s="3"/>
      <c r="J35" s="4"/>
    </row>
    <row r="36" spans="1:10" ht="18">
      <c r="A36" s="389" t="s">
        <v>191</v>
      </c>
      <c r="B36" s="372"/>
      <c r="C36" s="372" t="s">
        <v>137</v>
      </c>
      <c r="D36" s="372" t="s">
        <v>164</v>
      </c>
      <c r="E36" s="6">
        <v>44404</v>
      </c>
      <c r="F36" s="29"/>
      <c r="G36" s="3" t="s">
        <v>157</v>
      </c>
      <c r="H36" s="3"/>
      <c r="I36" s="3"/>
      <c r="J36" s="4"/>
    </row>
    <row r="37" spans="1:10" ht="18">
      <c r="A37" s="390" t="s">
        <v>191</v>
      </c>
      <c r="B37" s="373"/>
      <c r="C37" s="373" t="s">
        <v>137</v>
      </c>
      <c r="D37" s="373" t="s">
        <v>164</v>
      </c>
      <c r="E37" s="6">
        <v>44404</v>
      </c>
      <c r="F37" s="29"/>
      <c r="G37" s="3" t="s">
        <v>158</v>
      </c>
      <c r="H37" s="3"/>
      <c r="I37" s="3"/>
      <c r="J37" s="4"/>
    </row>
    <row r="38" spans="1:10" ht="18">
      <c r="A38" s="388" t="s">
        <v>191</v>
      </c>
      <c r="B38" s="371" t="s">
        <v>182</v>
      </c>
      <c r="C38" s="371" t="s">
        <v>137</v>
      </c>
      <c r="D38" s="371" t="s">
        <v>164</v>
      </c>
      <c r="E38" s="6">
        <v>44368</v>
      </c>
      <c r="F38" s="33">
        <v>44470</v>
      </c>
      <c r="G38" s="3" t="s">
        <v>192</v>
      </c>
      <c r="H38" s="3"/>
      <c r="I38" s="3"/>
      <c r="J38" s="4"/>
    </row>
    <row r="39" spans="1:10" ht="18">
      <c r="A39" s="389" t="s">
        <v>191</v>
      </c>
      <c r="B39" s="372"/>
      <c r="C39" s="372" t="s">
        <v>137</v>
      </c>
      <c r="D39" s="372" t="s">
        <v>164</v>
      </c>
      <c r="E39" s="6">
        <v>44368</v>
      </c>
      <c r="F39" s="33">
        <v>44470</v>
      </c>
      <c r="G39" s="3" t="s">
        <v>135</v>
      </c>
      <c r="H39" s="3"/>
      <c r="I39" s="3"/>
      <c r="J39" s="4"/>
    </row>
    <row r="40" spans="1:10" ht="18">
      <c r="A40" s="389" t="s">
        <v>191</v>
      </c>
      <c r="B40" s="372"/>
      <c r="C40" s="372" t="s">
        <v>137</v>
      </c>
      <c r="D40" s="372" t="s">
        <v>164</v>
      </c>
      <c r="E40" s="6">
        <v>44368</v>
      </c>
      <c r="F40" s="33">
        <v>44470</v>
      </c>
      <c r="G40" s="3" t="s">
        <v>157</v>
      </c>
      <c r="H40" s="3"/>
      <c r="I40" s="3"/>
      <c r="J40" s="4"/>
    </row>
    <row r="41" spans="1:10" ht="18">
      <c r="A41" s="390" t="s">
        <v>191</v>
      </c>
      <c r="B41" s="373"/>
      <c r="C41" s="373" t="s">
        <v>137</v>
      </c>
      <c r="D41" s="373" t="s">
        <v>164</v>
      </c>
      <c r="E41" s="6">
        <v>44368</v>
      </c>
      <c r="F41" s="33">
        <v>44470</v>
      </c>
      <c r="G41" s="3" t="s">
        <v>158</v>
      </c>
      <c r="H41" s="3"/>
      <c r="I41" s="3"/>
      <c r="J41" s="4"/>
    </row>
    <row r="42" spans="1:10" ht="18">
      <c r="A42" s="388" t="s">
        <v>191</v>
      </c>
      <c r="B42" s="371" t="s">
        <v>193</v>
      </c>
      <c r="C42" s="371" t="s">
        <v>137</v>
      </c>
      <c r="D42" s="371" t="s">
        <v>164</v>
      </c>
      <c r="E42" s="6">
        <v>44358</v>
      </c>
      <c r="F42" s="33">
        <v>44468</v>
      </c>
      <c r="G42" s="3" t="s">
        <v>135</v>
      </c>
      <c r="H42" s="3"/>
      <c r="I42" s="3"/>
      <c r="J42" s="4"/>
    </row>
    <row r="43" spans="1:10" ht="18">
      <c r="A43" s="389" t="s">
        <v>191</v>
      </c>
      <c r="B43" s="372"/>
      <c r="C43" s="372" t="s">
        <v>137</v>
      </c>
      <c r="D43" s="372" t="s">
        <v>164</v>
      </c>
      <c r="E43" s="6">
        <v>44358</v>
      </c>
      <c r="F43" s="33">
        <v>44468</v>
      </c>
      <c r="G43" s="3" t="s">
        <v>157</v>
      </c>
      <c r="H43" s="3"/>
      <c r="I43" s="3"/>
      <c r="J43" s="4"/>
    </row>
    <row r="44" spans="1:10" ht="18">
      <c r="A44" s="390" t="s">
        <v>191</v>
      </c>
      <c r="B44" s="373"/>
      <c r="C44" s="373" t="s">
        <v>137</v>
      </c>
      <c r="D44" s="373" t="s">
        <v>164</v>
      </c>
      <c r="E44" s="6">
        <v>44358</v>
      </c>
      <c r="F44" s="33">
        <v>44468</v>
      </c>
      <c r="G44" s="3" t="s">
        <v>158</v>
      </c>
      <c r="H44" s="3"/>
      <c r="I44" s="3"/>
      <c r="J44" s="4"/>
    </row>
    <row r="45" spans="1:10" ht="18">
      <c r="A45" s="388" t="s">
        <v>191</v>
      </c>
      <c r="B45" s="371" t="s">
        <v>194</v>
      </c>
      <c r="C45" s="371" t="s">
        <v>137</v>
      </c>
      <c r="D45" s="371" t="s">
        <v>164</v>
      </c>
      <c r="E45" s="6">
        <v>44391</v>
      </c>
      <c r="F45" s="33">
        <v>44470</v>
      </c>
      <c r="G45" s="3" t="s">
        <v>192</v>
      </c>
      <c r="H45" s="3"/>
      <c r="I45" s="3"/>
      <c r="J45" s="4"/>
    </row>
    <row r="46" spans="1:10" ht="18">
      <c r="A46" s="389"/>
      <c r="B46" s="372"/>
      <c r="C46" s="372"/>
      <c r="D46" s="372"/>
      <c r="E46" s="6">
        <v>44391</v>
      </c>
      <c r="F46" s="33">
        <v>44470</v>
      </c>
      <c r="G46" s="3" t="s">
        <v>135</v>
      </c>
      <c r="H46" s="3"/>
      <c r="I46" s="3"/>
      <c r="J46" s="4"/>
    </row>
    <row r="47" spans="1:10" ht="18">
      <c r="A47" s="389"/>
      <c r="B47" s="372"/>
      <c r="C47" s="372"/>
      <c r="D47" s="372"/>
      <c r="E47" s="6">
        <v>44391</v>
      </c>
      <c r="F47" s="33">
        <v>44470</v>
      </c>
      <c r="G47" s="3" t="s">
        <v>157</v>
      </c>
      <c r="H47" s="3"/>
      <c r="I47" s="3"/>
      <c r="J47" s="4"/>
    </row>
    <row r="48" spans="1:10" ht="18">
      <c r="A48" s="390"/>
      <c r="B48" s="373"/>
      <c r="C48" s="373"/>
      <c r="D48" s="373"/>
      <c r="E48" s="6">
        <v>44391</v>
      </c>
      <c r="F48" s="33">
        <v>44470</v>
      </c>
      <c r="G48" s="3" t="s">
        <v>158</v>
      </c>
      <c r="H48" s="3"/>
      <c r="I48" s="3"/>
      <c r="J48" s="4"/>
    </row>
    <row r="49" spans="1:10">
      <c r="A49" s="388" t="s">
        <v>191</v>
      </c>
      <c r="B49" s="371" t="s">
        <v>185</v>
      </c>
      <c r="C49" s="371" t="s">
        <v>137</v>
      </c>
      <c r="D49" s="371" t="s">
        <v>164</v>
      </c>
      <c r="E49" s="11">
        <v>44368</v>
      </c>
      <c r="F49" s="31">
        <v>44468</v>
      </c>
      <c r="G49" s="3" t="s">
        <v>192</v>
      </c>
      <c r="H49" s="3"/>
      <c r="I49" s="3"/>
      <c r="J49" s="4"/>
    </row>
    <row r="50" spans="1:10">
      <c r="A50" s="389"/>
      <c r="B50" s="372"/>
      <c r="C50" s="372"/>
      <c r="D50" s="372"/>
      <c r="E50" s="11">
        <v>44368</v>
      </c>
      <c r="F50" s="31">
        <v>44468</v>
      </c>
      <c r="G50" s="3" t="s">
        <v>135</v>
      </c>
      <c r="H50" s="3"/>
      <c r="I50" s="3"/>
      <c r="J50" s="4"/>
    </row>
    <row r="51" spans="1:10">
      <c r="A51" s="389"/>
      <c r="B51" s="372"/>
      <c r="C51" s="372"/>
      <c r="D51" s="372"/>
      <c r="E51" s="11">
        <v>44368</v>
      </c>
      <c r="F51" s="31">
        <v>44468</v>
      </c>
      <c r="G51" s="3" t="s">
        <v>157</v>
      </c>
      <c r="H51" s="3"/>
      <c r="I51" s="3"/>
      <c r="J51" s="4"/>
    </row>
    <row r="52" spans="1:10">
      <c r="A52" s="390"/>
      <c r="B52" s="373"/>
      <c r="C52" s="373"/>
      <c r="D52" s="373"/>
      <c r="E52" s="11">
        <v>44368</v>
      </c>
      <c r="F52" s="31">
        <v>44468</v>
      </c>
      <c r="G52" s="3" t="s">
        <v>158</v>
      </c>
      <c r="H52" s="3"/>
      <c r="I52" s="3"/>
      <c r="J52" s="4"/>
    </row>
    <row r="53" spans="1:10">
      <c r="A53" s="388" t="s">
        <v>191</v>
      </c>
      <c r="B53" s="371" t="s">
        <v>195</v>
      </c>
      <c r="C53" s="371" t="s">
        <v>137</v>
      </c>
      <c r="D53" s="371" t="s">
        <v>164</v>
      </c>
      <c r="E53" s="11">
        <v>44379</v>
      </c>
      <c r="F53" s="31">
        <v>44468</v>
      </c>
      <c r="G53" s="3" t="s">
        <v>159</v>
      </c>
      <c r="H53" s="3"/>
      <c r="I53" s="3"/>
      <c r="J53" s="4"/>
    </row>
    <row r="54" spans="1:10">
      <c r="A54" s="390"/>
      <c r="B54" s="373"/>
      <c r="C54" s="373" t="s">
        <v>137</v>
      </c>
      <c r="D54" s="373" t="s">
        <v>164</v>
      </c>
      <c r="E54" s="11">
        <v>44379</v>
      </c>
      <c r="F54" s="31">
        <v>44468</v>
      </c>
      <c r="G54" s="3" t="s">
        <v>158</v>
      </c>
      <c r="H54" s="3"/>
      <c r="I54" s="3"/>
      <c r="J54" s="4"/>
    </row>
    <row r="55" spans="1:10">
      <c r="A55" s="388" t="s">
        <v>191</v>
      </c>
      <c r="B55" s="371" t="s">
        <v>187</v>
      </c>
      <c r="C55" s="371" t="s">
        <v>137</v>
      </c>
      <c r="D55" s="371" t="s">
        <v>164</v>
      </c>
      <c r="E55" s="11">
        <v>44365</v>
      </c>
      <c r="F55" s="31">
        <v>44468</v>
      </c>
      <c r="G55" s="3" t="s">
        <v>192</v>
      </c>
      <c r="H55" s="3"/>
      <c r="I55" s="3"/>
      <c r="J55" s="4"/>
    </row>
    <row r="56" spans="1:10">
      <c r="A56" s="389"/>
      <c r="B56" s="372"/>
      <c r="C56" s="372" t="s">
        <v>137</v>
      </c>
      <c r="D56" s="372" t="s">
        <v>164</v>
      </c>
      <c r="E56" s="11">
        <v>44365</v>
      </c>
      <c r="F56" s="31">
        <v>44468</v>
      </c>
      <c r="G56" s="3" t="s">
        <v>135</v>
      </c>
      <c r="H56" s="3"/>
      <c r="I56" s="3"/>
      <c r="J56" s="4"/>
    </row>
    <row r="57" spans="1:10">
      <c r="A57" s="389"/>
      <c r="B57" s="372"/>
      <c r="C57" s="372" t="s">
        <v>137</v>
      </c>
      <c r="D57" s="372" t="s">
        <v>164</v>
      </c>
      <c r="E57" s="11">
        <v>44365</v>
      </c>
      <c r="F57" s="31">
        <v>44468</v>
      </c>
      <c r="G57" s="3" t="s">
        <v>157</v>
      </c>
      <c r="H57" s="3"/>
      <c r="I57" s="3"/>
      <c r="J57" s="4"/>
    </row>
    <row r="58" spans="1:10">
      <c r="A58" s="390"/>
      <c r="B58" s="373"/>
      <c r="C58" s="373" t="s">
        <v>137</v>
      </c>
      <c r="D58" s="373" t="s">
        <v>164</v>
      </c>
      <c r="E58" s="11">
        <v>44365</v>
      </c>
      <c r="F58" s="31">
        <v>44468</v>
      </c>
      <c r="G58" s="3" t="s">
        <v>158</v>
      </c>
      <c r="H58" s="3"/>
      <c r="I58" s="3"/>
      <c r="J58" s="4"/>
    </row>
    <row r="59" spans="1:10">
      <c r="A59" s="388" t="s">
        <v>191</v>
      </c>
      <c r="B59" s="371" t="s">
        <v>196</v>
      </c>
      <c r="C59" s="371" t="s">
        <v>137</v>
      </c>
      <c r="D59" s="371" t="s">
        <v>164</v>
      </c>
      <c r="E59" s="11">
        <v>44362</v>
      </c>
      <c r="F59" s="31">
        <v>44463</v>
      </c>
      <c r="G59" s="3" t="s">
        <v>159</v>
      </c>
      <c r="H59" s="3"/>
      <c r="I59" s="3"/>
      <c r="J59" s="4"/>
    </row>
    <row r="60" spans="1:10">
      <c r="A60" s="389"/>
      <c r="B60" s="372"/>
      <c r="C60" s="372"/>
      <c r="D60" s="372" t="s">
        <v>164</v>
      </c>
      <c r="E60" s="11">
        <v>44362</v>
      </c>
      <c r="F60" s="31">
        <v>44463</v>
      </c>
      <c r="G60" s="3" t="s">
        <v>135</v>
      </c>
      <c r="H60" s="3"/>
      <c r="I60" s="3"/>
      <c r="J60" s="4"/>
    </row>
    <row r="61" spans="1:10">
      <c r="A61" s="389"/>
      <c r="B61" s="372"/>
      <c r="C61" s="372"/>
      <c r="D61" s="372" t="s">
        <v>164</v>
      </c>
      <c r="E61" s="11">
        <v>44362</v>
      </c>
      <c r="F61" s="31">
        <v>44463</v>
      </c>
      <c r="G61" s="3" t="s">
        <v>157</v>
      </c>
      <c r="H61" s="3"/>
      <c r="I61" s="3"/>
      <c r="J61" s="4"/>
    </row>
    <row r="62" spans="1:10">
      <c r="A62" s="390"/>
      <c r="B62" s="373"/>
      <c r="C62" s="373"/>
      <c r="D62" s="373" t="s">
        <v>164</v>
      </c>
      <c r="E62" s="11">
        <v>44362</v>
      </c>
      <c r="F62" s="31">
        <v>44463</v>
      </c>
      <c r="G62" s="3" t="s">
        <v>158</v>
      </c>
      <c r="H62" s="3"/>
      <c r="I62" s="3"/>
      <c r="J62" s="4"/>
    </row>
    <row r="63" spans="1:10">
      <c r="A63" s="388" t="s">
        <v>191</v>
      </c>
      <c r="B63" s="371" t="s">
        <v>197</v>
      </c>
      <c r="C63" s="371" t="s">
        <v>137</v>
      </c>
      <c r="D63" s="371" t="s">
        <v>164</v>
      </c>
      <c r="E63" s="11">
        <v>44362</v>
      </c>
      <c r="F63" s="31">
        <v>44475</v>
      </c>
      <c r="G63" s="3" t="s">
        <v>159</v>
      </c>
      <c r="H63" s="3"/>
      <c r="I63" s="3"/>
      <c r="J63" s="4"/>
    </row>
    <row r="64" spans="1:10">
      <c r="A64" s="389" t="s">
        <v>191</v>
      </c>
      <c r="B64" s="372"/>
      <c r="C64" s="372" t="s">
        <v>137</v>
      </c>
      <c r="D64" s="372" t="s">
        <v>164</v>
      </c>
      <c r="E64" s="11">
        <v>44365</v>
      </c>
      <c r="F64" s="31">
        <v>44475</v>
      </c>
      <c r="G64" s="3" t="s">
        <v>135</v>
      </c>
      <c r="H64" s="3"/>
      <c r="I64" s="3"/>
      <c r="J64" s="4"/>
    </row>
    <row r="65" spans="1:10">
      <c r="A65" s="389" t="s">
        <v>191</v>
      </c>
      <c r="B65" s="372"/>
      <c r="C65" s="372" t="s">
        <v>137</v>
      </c>
      <c r="D65" s="372" t="s">
        <v>164</v>
      </c>
      <c r="E65" s="11">
        <v>44365</v>
      </c>
      <c r="F65" s="31">
        <v>44475</v>
      </c>
      <c r="G65" s="3" t="s">
        <v>157</v>
      </c>
      <c r="H65" s="3"/>
      <c r="I65" s="3"/>
      <c r="J65" s="4"/>
    </row>
    <row r="66" spans="1:10">
      <c r="A66" s="390" t="s">
        <v>191</v>
      </c>
      <c r="B66" s="373"/>
      <c r="C66" s="373" t="s">
        <v>137</v>
      </c>
      <c r="D66" s="373" t="s">
        <v>164</v>
      </c>
      <c r="E66" s="11">
        <v>44365</v>
      </c>
      <c r="F66" s="31">
        <v>44475</v>
      </c>
      <c r="G66" s="3" t="s">
        <v>198</v>
      </c>
      <c r="H66" s="3"/>
      <c r="I66" s="3"/>
      <c r="J66" s="4"/>
    </row>
    <row r="67" spans="1:10">
      <c r="A67" s="388" t="s">
        <v>191</v>
      </c>
      <c r="B67" s="371" t="s">
        <v>188</v>
      </c>
      <c r="C67" s="371" t="s">
        <v>137</v>
      </c>
      <c r="D67" s="371" t="s">
        <v>164</v>
      </c>
      <c r="E67" s="11">
        <v>44357</v>
      </c>
      <c r="F67" s="31">
        <v>44476</v>
      </c>
      <c r="G67" s="3" t="s">
        <v>159</v>
      </c>
      <c r="H67" s="3"/>
      <c r="I67" s="3"/>
      <c r="J67" s="4"/>
    </row>
    <row r="68" spans="1:10">
      <c r="A68" s="389" t="s">
        <v>191</v>
      </c>
      <c r="B68" s="372"/>
      <c r="C68" s="372" t="s">
        <v>137</v>
      </c>
      <c r="D68" s="372" t="s">
        <v>164</v>
      </c>
      <c r="E68" s="11">
        <v>44357</v>
      </c>
      <c r="F68" s="31">
        <v>44476</v>
      </c>
      <c r="G68" s="3" t="s">
        <v>135</v>
      </c>
      <c r="H68" s="3"/>
      <c r="I68" s="3"/>
      <c r="J68" s="4"/>
    </row>
    <row r="69" spans="1:10">
      <c r="A69" s="389" t="s">
        <v>191</v>
      </c>
      <c r="B69" s="372"/>
      <c r="C69" s="372" t="s">
        <v>137</v>
      </c>
      <c r="D69" s="372" t="s">
        <v>164</v>
      </c>
      <c r="E69" s="11">
        <v>44357</v>
      </c>
      <c r="F69" s="31">
        <v>44476</v>
      </c>
      <c r="G69" s="3" t="s">
        <v>157</v>
      </c>
      <c r="H69" s="3"/>
      <c r="I69" s="3"/>
      <c r="J69" s="4"/>
    </row>
    <row r="70" spans="1:10">
      <c r="A70" s="390" t="s">
        <v>191</v>
      </c>
      <c r="B70" s="373"/>
      <c r="C70" s="373" t="s">
        <v>137</v>
      </c>
      <c r="D70" s="373" t="s">
        <v>164</v>
      </c>
      <c r="E70" s="11">
        <v>44363</v>
      </c>
      <c r="F70" s="31">
        <v>44476</v>
      </c>
      <c r="G70" s="3" t="s">
        <v>158</v>
      </c>
      <c r="H70" s="3"/>
      <c r="I70" s="3"/>
      <c r="J70" s="4"/>
    </row>
    <row r="71" spans="1:10">
      <c r="A71" s="388" t="s">
        <v>191</v>
      </c>
      <c r="B71" s="371" t="s">
        <v>199</v>
      </c>
      <c r="C71" s="371" t="s">
        <v>137</v>
      </c>
      <c r="D71" s="371" t="s">
        <v>164</v>
      </c>
      <c r="E71" s="11">
        <v>44357</v>
      </c>
      <c r="F71" s="31">
        <v>44463</v>
      </c>
      <c r="G71" s="3" t="s">
        <v>192</v>
      </c>
      <c r="H71" s="3"/>
      <c r="I71" s="3"/>
      <c r="J71" s="4"/>
    </row>
    <row r="72" spans="1:10">
      <c r="A72" s="389" t="s">
        <v>191</v>
      </c>
      <c r="B72" s="372"/>
      <c r="C72" s="372" t="s">
        <v>137</v>
      </c>
      <c r="D72" s="372" t="s">
        <v>164</v>
      </c>
      <c r="E72" s="11">
        <v>44357</v>
      </c>
      <c r="F72" s="31">
        <v>44463</v>
      </c>
      <c r="G72" s="3" t="s">
        <v>135</v>
      </c>
      <c r="H72" s="3"/>
      <c r="I72" s="3"/>
      <c r="J72" s="4"/>
    </row>
    <row r="73" spans="1:10">
      <c r="A73" s="389" t="s">
        <v>191</v>
      </c>
      <c r="B73" s="372"/>
      <c r="C73" s="372" t="s">
        <v>137</v>
      </c>
      <c r="D73" s="372" t="s">
        <v>164</v>
      </c>
      <c r="E73" s="11">
        <v>44357</v>
      </c>
      <c r="F73" s="31">
        <v>44463</v>
      </c>
      <c r="G73" s="3" t="s">
        <v>157</v>
      </c>
      <c r="H73" s="3"/>
      <c r="I73" s="3"/>
      <c r="J73" s="4"/>
    </row>
    <row r="74" spans="1:10">
      <c r="A74" s="390" t="s">
        <v>191</v>
      </c>
      <c r="B74" s="373"/>
      <c r="C74" s="373" t="s">
        <v>137</v>
      </c>
      <c r="D74" s="373" t="s">
        <v>164</v>
      </c>
      <c r="E74" s="11">
        <v>44362</v>
      </c>
      <c r="F74" s="31">
        <v>44463</v>
      </c>
      <c r="G74" s="3" t="s">
        <v>158</v>
      </c>
      <c r="H74" s="3"/>
      <c r="I74" s="3"/>
      <c r="J74" s="4"/>
    </row>
    <row r="75" spans="1:10">
      <c r="A75" s="388" t="s">
        <v>191</v>
      </c>
      <c r="B75" s="371" t="s">
        <v>200</v>
      </c>
      <c r="C75" s="371" t="s">
        <v>137</v>
      </c>
      <c r="D75" s="371" t="s">
        <v>164</v>
      </c>
      <c r="E75" s="11">
        <v>44403</v>
      </c>
      <c r="F75" s="31">
        <v>44468</v>
      </c>
      <c r="G75" s="3" t="s">
        <v>159</v>
      </c>
      <c r="H75" s="3"/>
      <c r="I75" s="3"/>
      <c r="J75" s="4"/>
    </row>
    <row r="76" spans="1:10">
      <c r="A76" s="389" t="s">
        <v>191</v>
      </c>
      <c r="B76" s="372"/>
      <c r="C76" s="372" t="s">
        <v>137</v>
      </c>
      <c r="D76" s="372" t="s">
        <v>164</v>
      </c>
      <c r="E76" s="11">
        <v>44403</v>
      </c>
      <c r="F76" s="31">
        <v>44468</v>
      </c>
      <c r="G76" s="3" t="s">
        <v>135</v>
      </c>
      <c r="H76" s="3"/>
      <c r="I76" s="3"/>
      <c r="J76" s="4"/>
    </row>
    <row r="77" spans="1:10">
      <c r="A77" s="389" t="s">
        <v>191</v>
      </c>
      <c r="B77" s="372"/>
      <c r="C77" s="372" t="s">
        <v>137</v>
      </c>
      <c r="D77" s="372" t="s">
        <v>164</v>
      </c>
      <c r="E77" s="11">
        <v>44403</v>
      </c>
      <c r="F77" s="31">
        <v>44468</v>
      </c>
      <c r="G77" s="3" t="s">
        <v>157</v>
      </c>
      <c r="H77" s="3"/>
      <c r="I77" s="3"/>
      <c r="J77" s="4"/>
    </row>
    <row r="78" spans="1:10">
      <c r="A78" s="390" t="s">
        <v>191</v>
      </c>
      <c r="B78" s="373"/>
      <c r="C78" s="373" t="s">
        <v>137</v>
      </c>
      <c r="D78" s="373" t="s">
        <v>164</v>
      </c>
      <c r="E78" s="11">
        <v>44403</v>
      </c>
      <c r="F78" s="31">
        <v>44468</v>
      </c>
      <c r="G78" s="3" t="s">
        <v>158</v>
      </c>
      <c r="H78" s="3"/>
      <c r="I78" s="3"/>
      <c r="J78" s="4"/>
    </row>
    <row r="79" spans="1:10">
      <c r="A79" s="24" t="s">
        <v>201</v>
      </c>
      <c r="B79" s="3" t="s">
        <v>182</v>
      </c>
      <c r="C79" s="3" t="s">
        <v>137</v>
      </c>
      <c r="D79" s="3" t="s">
        <v>164</v>
      </c>
      <c r="E79" s="11">
        <v>44390</v>
      </c>
      <c r="F79" s="28">
        <v>44462</v>
      </c>
      <c r="G79" s="3" t="s">
        <v>202</v>
      </c>
      <c r="H79" s="3"/>
      <c r="I79" s="3"/>
      <c r="J79" s="4"/>
    </row>
    <row r="80" spans="1:10">
      <c r="A80" s="24" t="s">
        <v>201</v>
      </c>
      <c r="B80" s="3" t="s">
        <v>194</v>
      </c>
      <c r="C80" s="3" t="s">
        <v>137</v>
      </c>
      <c r="D80" s="3" t="s">
        <v>164</v>
      </c>
      <c r="E80" s="11">
        <v>44398</v>
      </c>
      <c r="F80" s="28">
        <v>44462</v>
      </c>
      <c r="G80" s="3" t="s">
        <v>202</v>
      </c>
      <c r="H80" s="3"/>
      <c r="I80" s="3"/>
      <c r="J80" s="4"/>
    </row>
    <row r="81" spans="1:10">
      <c r="A81" s="24" t="s">
        <v>201</v>
      </c>
      <c r="B81" s="3" t="s">
        <v>188</v>
      </c>
      <c r="C81" s="3" t="s">
        <v>137</v>
      </c>
      <c r="D81" s="3" t="s">
        <v>164</v>
      </c>
      <c r="E81" s="11">
        <v>44390</v>
      </c>
      <c r="F81" s="28">
        <v>44463</v>
      </c>
      <c r="G81" s="3" t="s">
        <v>202</v>
      </c>
      <c r="H81" s="3"/>
      <c r="I81" s="3"/>
      <c r="J81" s="4"/>
    </row>
    <row r="82" spans="1:10">
      <c r="A82" s="24" t="s">
        <v>201</v>
      </c>
      <c r="B82" s="3" t="s">
        <v>203</v>
      </c>
      <c r="C82" s="3" t="s">
        <v>137</v>
      </c>
      <c r="D82" s="3" t="s">
        <v>164</v>
      </c>
      <c r="E82" s="11">
        <v>44403</v>
      </c>
      <c r="F82" s="28">
        <v>44456</v>
      </c>
      <c r="G82" s="3" t="s">
        <v>202</v>
      </c>
      <c r="H82" s="3"/>
      <c r="I82" s="3"/>
      <c r="J82" s="4"/>
    </row>
  </sheetData>
  <autoFilter ref="A1:J1" xr:uid="{00000000-0001-0000-0700-000000000000}"/>
  <mergeCells count="74">
    <mergeCell ref="B75:B78"/>
    <mergeCell ref="C75:C78"/>
    <mergeCell ref="D75:D78"/>
    <mergeCell ref="A75:A78"/>
    <mergeCell ref="B67:B70"/>
    <mergeCell ref="C67:C70"/>
    <mergeCell ref="D67:D70"/>
    <mergeCell ref="A67:A70"/>
    <mergeCell ref="B71:B74"/>
    <mergeCell ref="C71:C74"/>
    <mergeCell ref="D71:D74"/>
    <mergeCell ref="A71:A74"/>
    <mergeCell ref="B59:B62"/>
    <mergeCell ref="A59:A62"/>
    <mergeCell ref="C59:C62"/>
    <mergeCell ref="D59:D62"/>
    <mergeCell ref="B63:B66"/>
    <mergeCell ref="A63:A66"/>
    <mergeCell ref="C63:C66"/>
    <mergeCell ref="D63:D66"/>
    <mergeCell ref="B53:B54"/>
    <mergeCell ref="A53:A54"/>
    <mergeCell ref="C53:C54"/>
    <mergeCell ref="D53:D54"/>
    <mergeCell ref="B55:B58"/>
    <mergeCell ref="A55:A58"/>
    <mergeCell ref="C55:C58"/>
    <mergeCell ref="D55:D58"/>
    <mergeCell ref="B45:B48"/>
    <mergeCell ref="C45:C48"/>
    <mergeCell ref="D45:D48"/>
    <mergeCell ref="A45:A48"/>
    <mergeCell ref="B49:B52"/>
    <mergeCell ref="A49:A52"/>
    <mergeCell ref="C49:C52"/>
    <mergeCell ref="D49:D52"/>
    <mergeCell ref="B38:B41"/>
    <mergeCell ref="C38:C41"/>
    <mergeCell ref="D38:D41"/>
    <mergeCell ref="A38:A41"/>
    <mergeCell ref="B42:B44"/>
    <mergeCell ref="C42:C44"/>
    <mergeCell ref="D42:D44"/>
    <mergeCell ref="A42:A44"/>
    <mergeCell ref="A30:A31"/>
    <mergeCell ref="B30:B31"/>
    <mergeCell ref="C30:C31"/>
    <mergeCell ref="D30:D31"/>
    <mergeCell ref="B34:B37"/>
    <mergeCell ref="A34:A37"/>
    <mergeCell ref="C34:C37"/>
    <mergeCell ref="D34:D37"/>
    <mergeCell ref="C14:C15"/>
    <mergeCell ref="D14:D15"/>
    <mergeCell ref="A26:A27"/>
    <mergeCell ref="B26:B27"/>
    <mergeCell ref="C26:C27"/>
    <mergeCell ref="D26:D27"/>
    <mergeCell ref="F10:F11"/>
    <mergeCell ref="F14:F15"/>
    <mergeCell ref="B2:B3"/>
    <mergeCell ref="A2:A3"/>
    <mergeCell ref="C2:C3"/>
    <mergeCell ref="D2:D3"/>
    <mergeCell ref="A5:A6"/>
    <mergeCell ref="B5:B6"/>
    <mergeCell ref="C5:C6"/>
    <mergeCell ref="D5:D6"/>
    <mergeCell ref="A10:A11"/>
    <mergeCell ref="B10:B11"/>
    <mergeCell ref="C10:C11"/>
    <mergeCell ref="D10:D11"/>
    <mergeCell ref="A14:A15"/>
    <mergeCell ref="B14:B15"/>
  </mergeCells>
  <phoneticPr fontId="1" type="noConversion"/>
  <conditionalFormatting sqref="E2:E21">
    <cfRule type="expression" dxfId="5" priority="1">
      <formula>(E2-D2)&lt;61</formula>
    </cfRule>
  </conditionalFormatting>
  <conditionalFormatting sqref="F2:F4 F9:F10 F14 F17:F18 F20">
    <cfRule type="expression" dxfId="4" priority="16">
      <formula>(F2-E2)&lt;61</formula>
    </cfRule>
  </conditionalFormatting>
  <dataValidations count="1">
    <dataValidation type="list" allowBlank="1" showInputMessage="1" showErrorMessage="1" sqref="A2 A4:A45 A49 A53 A55 A59 A63:A100" xr:uid="{00000000-0002-0000-0700-000000000000}">
      <formula1>"POST,HNCB,FCB,BOT,SKI,NET"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/>
  </sheetPr>
  <dimension ref="A1:J56"/>
  <sheetViews>
    <sheetView topLeftCell="A34" zoomScale="150" workbookViewId="0"/>
  </sheetViews>
  <sheetFormatPr defaultColWidth="10.81640625" defaultRowHeight="17"/>
  <cols>
    <col min="1" max="1" width="10.81640625" style="2"/>
    <col min="2" max="2" width="27.08984375" style="1" customWidth="1"/>
    <col min="3" max="4" width="12.81640625" style="1" customWidth="1"/>
    <col min="5" max="6" width="16.08984375" style="1" customWidth="1"/>
    <col min="7" max="7" width="18.453125" style="1" customWidth="1"/>
    <col min="8" max="9" width="14.08984375" style="1" customWidth="1"/>
    <col min="10" max="10" width="43.36328125" style="1" customWidth="1"/>
  </cols>
  <sheetData>
    <row r="1" spans="1:10">
      <c r="A1" s="23" t="s">
        <v>0</v>
      </c>
      <c r="B1" s="23" t="s">
        <v>1</v>
      </c>
      <c r="C1" s="23" t="s">
        <v>2</v>
      </c>
      <c r="D1" s="23" t="s">
        <v>3</v>
      </c>
      <c r="E1" s="23" t="s">
        <v>8</v>
      </c>
      <c r="F1" s="23" t="s">
        <v>9</v>
      </c>
      <c r="G1" s="23" t="s">
        <v>4</v>
      </c>
      <c r="H1" s="23" t="s">
        <v>5</v>
      </c>
      <c r="I1" s="23" t="s">
        <v>6</v>
      </c>
      <c r="J1" s="23" t="s">
        <v>7</v>
      </c>
    </row>
    <row r="2" spans="1:10">
      <c r="A2" s="385" t="s">
        <v>10</v>
      </c>
      <c r="B2" s="371" t="s">
        <v>274</v>
      </c>
      <c r="C2" s="371" t="s">
        <v>137</v>
      </c>
      <c r="D2" s="371" t="s">
        <v>275</v>
      </c>
      <c r="E2" s="11">
        <v>44265</v>
      </c>
      <c r="F2" s="11">
        <v>44355</v>
      </c>
      <c r="G2" s="3" t="s">
        <v>139</v>
      </c>
      <c r="H2" s="4"/>
      <c r="I2" s="4"/>
      <c r="J2" s="371"/>
    </row>
    <row r="3" spans="1:10">
      <c r="A3" s="386"/>
      <c r="B3" s="373"/>
      <c r="C3" s="373" t="s">
        <v>137</v>
      </c>
      <c r="D3" s="373" t="s">
        <v>275</v>
      </c>
      <c r="E3" s="11">
        <v>44355</v>
      </c>
      <c r="F3" s="11"/>
      <c r="G3" s="3" t="s">
        <v>147</v>
      </c>
      <c r="H3" s="4"/>
      <c r="I3" s="4"/>
      <c r="J3" s="373"/>
    </row>
    <row r="4" spans="1:10">
      <c r="A4" s="18" t="s">
        <v>10</v>
      </c>
      <c r="B4" s="3" t="s">
        <v>276</v>
      </c>
      <c r="C4" s="25" t="s">
        <v>137</v>
      </c>
      <c r="D4" s="25" t="s">
        <v>275</v>
      </c>
      <c r="E4" s="11">
        <v>44335</v>
      </c>
      <c r="F4" s="11">
        <v>44417</v>
      </c>
      <c r="G4" s="3" t="s">
        <v>144</v>
      </c>
      <c r="H4" s="4"/>
      <c r="I4" s="4"/>
      <c r="J4" s="4"/>
    </row>
    <row r="5" spans="1:10" ht="31">
      <c r="A5" s="18" t="s">
        <v>10</v>
      </c>
      <c r="B5" s="17" t="s">
        <v>277</v>
      </c>
      <c r="C5" s="25" t="s">
        <v>137</v>
      </c>
      <c r="D5" s="25" t="s">
        <v>275</v>
      </c>
      <c r="E5" s="11">
        <v>44335</v>
      </c>
      <c r="F5" s="11">
        <v>44418</v>
      </c>
      <c r="G5" s="3" t="s">
        <v>139</v>
      </c>
      <c r="H5" s="4"/>
      <c r="I5" s="4"/>
      <c r="J5" s="4"/>
    </row>
    <row r="6" spans="1:10">
      <c r="A6" s="18" t="s">
        <v>10</v>
      </c>
      <c r="B6" s="3" t="s">
        <v>278</v>
      </c>
      <c r="C6" s="25" t="s">
        <v>137</v>
      </c>
      <c r="D6" s="25" t="s">
        <v>275</v>
      </c>
      <c r="E6" s="11">
        <v>44335</v>
      </c>
      <c r="F6" s="11">
        <v>44406</v>
      </c>
      <c r="G6" s="3" t="s">
        <v>139</v>
      </c>
      <c r="H6" s="4"/>
      <c r="I6" s="4"/>
      <c r="J6" s="4"/>
    </row>
    <row r="7" spans="1:10">
      <c r="A7" s="18" t="s">
        <v>10</v>
      </c>
      <c r="B7" s="3" t="s">
        <v>279</v>
      </c>
      <c r="C7" s="25" t="s">
        <v>137</v>
      </c>
      <c r="D7" s="25" t="s">
        <v>275</v>
      </c>
      <c r="E7" s="11">
        <v>44327</v>
      </c>
      <c r="F7" s="11">
        <v>44406</v>
      </c>
      <c r="G7" s="3" t="s">
        <v>139</v>
      </c>
      <c r="H7" s="4"/>
      <c r="I7" s="4"/>
      <c r="J7" s="4"/>
    </row>
    <row r="8" spans="1:10">
      <c r="A8" s="18" t="s">
        <v>10</v>
      </c>
      <c r="B8" s="3" t="s">
        <v>280</v>
      </c>
      <c r="C8" s="25" t="s">
        <v>137</v>
      </c>
      <c r="D8" s="25" t="s">
        <v>275</v>
      </c>
      <c r="E8" s="11">
        <v>44335</v>
      </c>
      <c r="F8" s="11">
        <v>44417</v>
      </c>
      <c r="G8" s="3" t="s">
        <v>139</v>
      </c>
      <c r="H8" s="4"/>
      <c r="I8" s="4"/>
      <c r="J8" s="4"/>
    </row>
    <row r="9" spans="1:10">
      <c r="A9" s="18" t="s">
        <v>10</v>
      </c>
      <c r="B9" s="3" t="s">
        <v>281</v>
      </c>
      <c r="C9" s="25" t="s">
        <v>137</v>
      </c>
      <c r="D9" s="25" t="s">
        <v>275</v>
      </c>
      <c r="E9" s="11">
        <v>44349</v>
      </c>
      <c r="F9" s="11">
        <v>44420</v>
      </c>
      <c r="G9" s="3" t="s">
        <v>142</v>
      </c>
      <c r="H9" s="4"/>
      <c r="I9" s="4"/>
      <c r="J9" s="4"/>
    </row>
    <row r="10" spans="1:10">
      <c r="A10" s="18" t="s">
        <v>10</v>
      </c>
      <c r="B10" s="3" t="s">
        <v>282</v>
      </c>
      <c r="C10" s="25" t="s">
        <v>137</v>
      </c>
      <c r="D10" s="25" t="s">
        <v>275</v>
      </c>
      <c r="E10" s="11">
        <v>44355</v>
      </c>
      <c r="F10" s="11">
        <v>44420</v>
      </c>
      <c r="G10" s="3" t="s">
        <v>142</v>
      </c>
      <c r="H10" s="4"/>
      <c r="I10" s="4"/>
      <c r="J10" s="4"/>
    </row>
    <row r="11" spans="1:10">
      <c r="A11" s="18" t="s">
        <v>10</v>
      </c>
      <c r="B11" s="3" t="s">
        <v>283</v>
      </c>
      <c r="C11" s="25" t="s">
        <v>137</v>
      </c>
      <c r="D11" s="25" t="s">
        <v>275</v>
      </c>
      <c r="E11" s="11">
        <v>44349</v>
      </c>
      <c r="F11" s="11">
        <v>44420</v>
      </c>
      <c r="G11" s="3" t="s">
        <v>142</v>
      </c>
      <c r="H11" s="4"/>
      <c r="I11" s="4"/>
      <c r="J11" s="4"/>
    </row>
    <row r="12" spans="1:10">
      <c r="A12" s="18" t="s">
        <v>10</v>
      </c>
      <c r="B12" s="3" t="s">
        <v>284</v>
      </c>
      <c r="C12" s="25" t="s">
        <v>137</v>
      </c>
      <c r="D12" s="25" t="s">
        <v>275</v>
      </c>
      <c r="E12" s="11">
        <v>44350</v>
      </c>
      <c r="F12" s="11">
        <v>44421</v>
      </c>
      <c r="G12" s="3" t="s">
        <v>142</v>
      </c>
      <c r="H12" s="4"/>
      <c r="I12" s="4"/>
      <c r="J12" s="4"/>
    </row>
    <row r="13" spans="1:10">
      <c r="A13" s="19" t="s">
        <v>24</v>
      </c>
      <c r="B13" s="3" t="s">
        <v>285</v>
      </c>
      <c r="C13" s="25" t="s">
        <v>137</v>
      </c>
      <c r="D13" s="25" t="s">
        <v>275</v>
      </c>
      <c r="E13" s="11">
        <v>44265</v>
      </c>
      <c r="F13" s="11">
        <v>44431</v>
      </c>
      <c r="G13" s="3" t="s">
        <v>123</v>
      </c>
      <c r="H13" s="4"/>
      <c r="I13" s="4"/>
      <c r="J13" s="4"/>
    </row>
    <row r="14" spans="1:10">
      <c r="A14" s="19" t="s">
        <v>24</v>
      </c>
      <c r="B14" s="3" t="s">
        <v>285</v>
      </c>
      <c r="C14" s="25" t="s">
        <v>137</v>
      </c>
      <c r="D14" s="25" t="s">
        <v>275</v>
      </c>
      <c r="E14" s="11">
        <v>44265</v>
      </c>
      <c r="F14" s="11">
        <v>44431</v>
      </c>
      <c r="G14" s="3" t="s">
        <v>183</v>
      </c>
      <c r="H14" s="4"/>
      <c r="I14" s="4"/>
      <c r="J14" s="4"/>
    </row>
    <row r="15" spans="1:10">
      <c r="A15" s="19" t="s">
        <v>24</v>
      </c>
      <c r="B15" s="3" t="s">
        <v>286</v>
      </c>
      <c r="C15" s="25" t="s">
        <v>137</v>
      </c>
      <c r="D15" s="25" t="s">
        <v>275</v>
      </c>
      <c r="E15" s="11">
        <v>44273</v>
      </c>
      <c r="F15" s="11"/>
      <c r="G15" s="3" t="s">
        <v>123</v>
      </c>
      <c r="H15" s="4"/>
      <c r="I15" s="4"/>
      <c r="J15" s="4"/>
    </row>
    <row r="16" spans="1:10">
      <c r="A16" s="19" t="s">
        <v>24</v>
      </c>
      <c r="B16" s="3" t="s">
        <v>286</v>
      </c>
      <c r="C16" s="25" t="s">
        <v>137</v>
      </c>
      <c r="D16" s="25" t="s">
        <v>275</v>
      </c>
      <c r="E16" s="11">
        <v>44273</v>
      </c>
      <c r="F16" s="11"/>
      <c r="G16" s="3" t="s">
        <v>183</v>
      </c>
      <c r="H16" s="4"/>
      <c r="I16" s="4"/>
      <c r="J16" s="4"/>
    </row>
    <row r="17" spans="1:10">
      <c r="A17" s="434" t="s">
        <v>24</v>
      </c>
      <c r="B17" s="371" t="s">
        <v>287</v>
      </c>
      <c r="C17" s="437" t="s">
        <v>137</v>
      </c>
      <c r="D17" s="437" t="s">
        <v>275</v>
      </c>
      <c r="E17" s="11">
        <v>44265</v>
      </c>
      <c r="F17" s="11">
        <v>44420</v>
      </c>
      <c r="G17" s="3" t="s">
        <v>123</v>
      </c>
      <c r="H17" s="4"/>
      <c r="I17" s="4"/>
      <c r="J17" s="4"/>
    </row>
    <row r="18" spans="1:10">
      <c r="A18" s="436"/>
      <c r="B18" s="373"/>
      <c r="C18" s="439"/>
      <c r="D18" s="439" t="s">
        <v>275</v>
      </c>
      <c r="E18" s="11">
        <v>44265</v>
      </c>
      <c r="F18" s="11">
        <v>44420</v>
      </c>
      <c r="G18" s="3" t="s">
        <v>183</v>
      </c>
      <c r="H18" s="4"/>
      <c r="I18" s="4"/>
      <c r="J18" s="4"/>
    </row>
    <row r="19" spans="1:10">
      <c r="A19" s="19" t="s">
        <v>24</v>
      </c>
      <c r="B19" s="3" t="s">
        <v>288</v>
      </c>
      <c r="C19" s="25" t="s">
        <v>137</v>
      </c>
      <c r="D19" s="25" t="s">
        <v>275</v>
      </c>
      <c r="E19" s="11">
        <v>44327</v>
      </c>
      <c r="F19" s="11"/>
      <c r="G19" s="3" t="s">
        <v>123</v>
      </c>
      <c r="H19" s="4"/>
      <c r="I19" s="4"/>
      <c r="J19" s="4"/>
    </row>
    <row r="20" spans="1:10">
      <c r="A20" s="19" t="s">
        <v>24</v>
      </c>
      <c r="B20" s="3" t="s">
        <v>289</v>
      </c>
      <c r="C20" s="25" t="s">
        <v>137</v>
      </c>
      <c r="D20" s="25" t="s">
        <v>275</v>
      </c>
      <c r="E20" s="11">
        <v>44266</v>
      </c>
      <c r="F20" s="11"/>
      <c r="G20" s="3" t="s">
        <v>123</v>
      </c>
      <c r="H20" s="4"/>
      <c r="I20" s="4"/>
      <c r="J20" s="4"/>
    </row>
    <row r="21" spans="1:10">
      <c r="A21" s="19" t="s">
        <v>24</v>
      </c>
      <c r="B21" s="3" t="s">
        <v>269</v>
      </c>
      <c r="C21" s="25" t="s">
        <v>137</v>
      </c>
      <c r="D21" s="25" t="s">
        <v>275</v>
      </c>
      <c r="E21" s="11">
        <v>44266</v>
      </c>
      <c r="F21" s="11">
        <v>44412</v>
      </c>
      <c r="G21" s="3" t="s">
        <v>123</v>
      </c>
      <c r="H21" s="4"/>
      <c r="I21" s="4"/>
      <c r="J21" s="4"/>
    </row>
    <row r="22" spans="1:10">
      <c r="A22" s="19" t="s">
        <v>24</v>
      </c>
      <c r="B22" s="3" t="s">
        <v>200</v>
      </c>
      <c r="C22" s="25" t="s">
        <v>137</v>
      </c>
      <c r="D22" s="25" t="s">
        <v>275</v>
      </c>
      <c r="E22" s="11">
        <v>44266</v>
      </c>
      <c r="F22" s="11">
        <v>44420</v>
      </c>
      <c r="G22" s="3" t="s">
        <v>123</v>
      </c>
      <c r="H22" s="4"/>
      <c r="I22" s="4"/>
      <c r="J22" s="4"/>
    </row>
    <row r="23" spans="1:10">
      <c r="A23" s="19" t="s">
        <v>24</v>
      </c>
      <c r="B23" s="3" t="s">
        <v>290</v>
      </c>
      <c r="C23" s="25" t="s">
        <v>137</v>
      </c>
      <c r="D23" s="25" t="s">
        <v>275</v>
      </c>
      <c r="E23" s="11">
        <v>44267</v>
      </c>
      <c r="F23" s="11"/>
      <c r="G23" s="3" t="s">
        <v>123</v>
      </c>
      <c r="H23" s="4"/>
      <c r="I23" s="4"/>
      <c r="J23" s="4"/>
    </row>
    <row r="24" spans="1:10">
      <c r="A24" s="388" t="s">
        <v>37</v>
      </c>
      <c r="B24" s="371" t="s">
        <v>291</v>
      </c>
      <c r="C24" s="371" t="s">
        <v>137</v>
      </c>
      <c r="D24" s="371" t="s">
        <v>275</v>
      </c>
      <c r="E24" s="3" t="s">
        <v>159</v>
      </c>
      <c r="F24" s="11">
        <v>44285</v>
      </c>
      <c r="G24" s="11">
        <v>44370</v>
      </c>
      <c r="H24" s="4"/>
      <c r="I24" s="4"/>
      <c r="J24" s="371"/>
    </row>
    <row r="25" spans="1:10">
      <c r="A25" s="389"/>
      <c r="B25" s="372"/>
      <c r="C25" s="372" t="s">
        <v>137</v>
      </c>
      <c r="D25" s="372" t="s">
        <v>275</v>
      </c>
      <c r="E25" s="3" t="s">
        <v>135</v>
      </c>
      <c r="F25" s="11">
        <v>44285</v>
      </c>
      <c r="G25" s="11">
        <v>44370</v>
      </c>
      <c r="H25" s="4"/>
      <c r="I25" s="4"/>
      <c r="J25" s="372"/>
    </row>
    <row r="26" spans="1:10">
      <c r="A26" s="389"/>
      <c r="B26" s="372"/>
      <c r="C26" s="372" t="s">
        <v>137</v>
      </c>
      <c r="D26" s="372" t="s">
        <v>275</v>
      </c>
      <c r="E26" s="3" t="s">
        <v>157</v>
      </c>
      <c r="F26" s="11">
        <v>44285</v>
      </c>
      <c r="G26" s="11">
        <v>44370</v>
      </c>
      <c r="H26" s="4"/>
      <c r="I26" s="4"/>
      <c r="J26" s="372"/>
    </row>
    <row r="27" spans="1:10">
      <c r="A27" s="390"/>
      <c r="B27" s="373"/>
      <c r="C27" s="373" t="s">
        <v>137</v>
      </c>
      <c r="D27" s="373" t="s">
        <v>275</v>
      </c>
      <c r="E27" s="3" t="s">
        <v>158</v>
      </c>
      <c r="F27" s="11">
        <v>44285</v>
      </c>
      <c r="G27" s="11">
        <v>44370</v>
      </c>
      <c r="H27" s="4"/>
      <c r="I27" s="4"/>
      <c r="J27" s="373"/>
    </row>
    <row r="28" spans="1:10">
      <c r="A28" s="388" t="s">
        <v>37</v>
      </c>
      <c r="B28" s="371" t="s">
        <v>288</v>
      </c>
      <c r="C28" s="371" t="s">
        <v>137</v>
      </c>
      <c r="D28" s="371" t="s">
        <v>275</v>
      </c>
      <c r="E28" s="3" t="s">
        <v>135</v>
      </c>
      <c r="F28" s="11">
        <v>44267</v>
      </c>
      <c r="G28" s="11">
        <v>44404</v>
      </c>
      <c r="H28" s="4"/>
      <c r="I28" s="4"/>
      <c r="J28" s="371"/>
    </row>
    <row r="29" spans="1:10">
      <c r="A29" s="389"/>
      <c r="B29" s="372"/>
      <c r="C29" s="372" t="s">
        <v>137</v>
      </c>
      <c r="D29" s="372" t="s">
        <v>275</v>
      </c>
      <c r="E29" s="3" t="s">
        <v>159</v>
      </c>
      <c r="F29" s="11">
        <v>44267</v>
      </c>
      <c r="G29" s="11">
        <v>44404</v>
      </c>
      <c r="H29" s="4"/>
      <c r="I29" s="4"/>
      <c r="J29" s="372"/>
    </row>
    <row r="30" spans="1:10">
      <c r="A30" s="389"/>
      <c r="B30" s="372"/>
      <c r="C30" s="372" t="s">
        <v>137</v>
      </c>
      <c r="D30" s="372" t="s">
        <v>275</v>
      </c>
      <c r="E30" s="3" t="s">
        <v>158</v>
      </c>
      <c r="F30" s="11">
        <v>44267</v>
      </c>
      <c r="G30" s="11">
        <v>44404</v>
      </c>
      <c r="H30" s="4"/>
      <c r="I30" s="4"/>
      <c r="J30" s="372"/>
    </row>
    <row r="31" spans="1:10">
      <c r="A31" s="390"/>
      <c r="B31" s="373"/>
      <c r="C31" s="373" t="s">
        <v>137</v>
      </c>
      <c r="D31" s="373" t="s">
        <v>275</v>
      </c>
      <c r="E31" s="3" t="s">
        <v>157</v>
      </c>
      <c r="F31" s="11">
        <v>44267</v>
      </c>
      <c r="G31" s="11">
        <v>44404</v>
      </c>
      <c r="H31" s="4"/>
      <c r="I31" s="4"/>
      <c r="J31" s="373"/>
    </row>
    <row r="32" spans="1:10">
      <c r="A32" s="388" t="s">
        <v>37</v>
      </c>
      <c r="B32" s="371" t="s">
        <v>285</v>
      </c>
      <c r="C32" s="371" t="s">
        <v>137</v>
      </c>
      <c r="D32" s="371" t="s">
        <v>275</v>
      </c>
      <c r="E32" s="3" t="s">
        <v>135</v>
      </c>
      <c r="F32" s="11">
        <v>44285</v>
      </c>
      <c r="G32" s="11">
        <v>44368</v>
      </c>
      <c r="H32" s="4"/>
      <c r="I32" s="4"/>
      <c r="J32" s="371"/>
    </row>
    <row r="33" spans="1:10">
      <c r="A33" s="389"/>
      <c r="B33" s="372"/>
      <c r="C33" s="372" t="s">
        <v>137</v>
      </c>
      <c r="D33" s="372" t="s">
        <v>275</v>
      </c>
      <c r="E33" s="3" t="s">
        <v>158</v>
      </c>
      <c r="F33" s="11">
        <v>44285</v>
      </c>
      <c r="G33" s="11">
        <v>44368</v>
      </c>
      <c r="H33" s="4"/>
      <c r="I33" s="4"/>
      <c r="J33" s="372"/>
    </row>
    <row r="34" spans="1:10">
      <c r="A34" s="390"/>
      <c r="B34" s="373"/>
      <c r="C34" s="373" t="s">
        <v>137</v>
      </c>
      <c r="D34" s="373" t="s">
        <v>275</v>
      </c>
      <c r="E34" s="3" t="s">
        <v>157</v>
      </c>
      <c r="F34" s="11">
        <v>44285</v>
      </c>
      <c r="G34" s="11">
        <v>44368</v>
      </c>
      <c r="H34" s="4"/>
      <c r="I34" s="4"/>
      <c r="J34" s="373"/>
    </row>
    <row r="35" spans="1:10">
      <c r="A35" s="388" t="s">
        <v>37</v>
      </c>
      <c r="B35" s="371" t="s">
        <v>292</v>
      </c>
      <c r="C35" s="371" t="s">
        <v>137</v>
      </c>
      <c r="D35" s="371" t="s">
        <v>275</v>
      </c>
      <c r="E35" s="3" t="s">
        <v>135</v>
      </c>
      <c r="F35" s="11">
        <v>44285</v>
      </c>
      <c r="G35" s="11">
        <v>44370</v>
      </c>
      <c r="H35" s="4"/>
      <c r="I35" s="4"/>
      <c r="J35" s="371"/>
    </row>
    <row r="36" spans="1:10">
      <c r="A36" s="389"/>
      <c r="B36" s="372"/>
      <c r="C36" s="372" t="s">
        <v>137</v>
      </c>
      <c r="D36" s="372" t="s">
        <v>275</v>
      </c>
      <c r="E36" s="3" t="s">
        <v>158</v>
      </c>
      <c r="F36" s="11">
        <v>44285</v>
      </c>
      <c r="G36" s="11">
        <v>44370</v>
      </c>
      <c r="H36" s="4"/>
      <c r="I36" s="4"/>
      <c r="J36" s="372"/>
    </row>
    <row r="37" spans="1:10">
      <c r="A37" s="390"/>
      <c r="B37" s="373"/>
      <c r="C37" s="373" t="s">
        <v>137</v>
      </c>
      <c r="D37" s="373" t="s">
        <v>275</v>
      </c>
      <c r="E37" s="3" t="s">
        <v>157</v>
      </c>
      <c r="F37" s="11">
        <v>44285</v>
      </c>
      <c r="G37" s="11">
        <v>44370</v>
      </c>
      <c r="H37" s="4"/>
      <c r="I37" s="4"/>
      <c r="J37" s="373"/>
    </row>
    <row r="38" spans="1:10">
      <c r="A38" s="388" t="s">
        <v>37</v>
      </c>
      <c r="B38" s="371" t="s">
        <v>293</v>
      </c>
      <c r="C38" s="371" t="s">
        <v>137</v>
      </c>
      <c r="D38" s="371" t="s">
        <v>275</v>
      </c>
      <c r="E38" s="3" t="s">
        <v>135</v>
      </c>
      <c r="F38" s="11">
        <v>44285</v>
      </c>
      <c r="G38" s="11">
        <v>44371</v>
      </c>
      <c r="H38" s="4"/>
      <c r="I38" s="4"/>
      <c r="J38" s="371"/>
    </row>
    <row r="39" spans="1:10">
      <c r="A39" s="389"/>
      <c r="B39" s="372"/>
      <c r="C39" s="372" t="s">
        <v>137</v>
      </c>
      <c r="D39" s="372" t="s">
        <v>275</v>
      </c>
      <c r="E39" s="3" t="s">
        <v>158</v>
      </c>
      <c r="F39" s="11">
        <v>44285</v>
      </c>
      <c r="G39" s="11">
        <v>44371</v>
      </c>
      <c r="H39" s="4"/>
      <c r="I39" s="4"/>
      <c r="J39" s="372"/>
    </row>
    <row r="40" spans="1:10">
      <c r="A40" s="390"/>
      <c r="B40" s="373"/>
      <c r="C40" s="373" t="s">
        <v>137</v>
      </c>
      <c r="D40" s="373" t="s">
        <v>275</v>
      </c>
      <c r="E40" s="3" t="s">
        <v>157</v>
      </c>
      <c r="F40" s="11">
        <v>44285</v>
      </c>
      <c r="G40" s="11">
        <v>44371</v>
      </c>
      <c r="H40" s="4"/>
      <c r="I40" s="4"/>
      <c r="J40" s="373"/>
    </row>
    <row r="41" spans="1:10">
      <c r="A41" s="388" t="s">
        <v>37</v>
      </c>
      <c r="B41" s="371" t="s">
        <v>269</v>
      </c>
      <c r="C41" s="437" t="s">
        <v>137</v>
      </c>
      <c r="D41" s="437" t="s">
        <v>275</v>
      </c>
      <c r="E41" s="3" t="s">
        <v>135</v>
      </c>
      <c r="F41" s="11">
        <v>44285</v>
      </c>
      <c r="G41" s="11">
        <v>44368</v>
      </c>
      <c r="H41" s="4"/>
      <c r="I41" s="4"/>
      <c r="J41" s="371"/>
    </row>
    <row r="42" spans="1:10">
      <c r="A42" s="389"/>
      <c r="B42" s="372"/>
      <c r="C42" s="438"/>
      <c r="D42" s="438"/>
      <c r="E42" s="3" t="s">
        <v>158</v>
      </c>
      <c r="F42" s="11">
        <v>44285</v>
      </c>
      <c r="G42" s="11">
        <v>44368</v>
      </c>
      <c r="H42" s="4"/>
      <c r="I42" s="4"/>
      <c r="J42" s="372"/>
    </row>
    <row r="43" spans="1:10">
      <c r="A43" s="390"/>
      <c r="B43" s="373"/>
      <c r="C43" s="439"/>
      <c r="D43" s="439"/>
      <c r="E43" s="3" t="s">
        <v>157</v>
      </c>
      <c r="F43" s="11">
        <v>44285</v>
      </c>
      <c r="G43" s="11">
        <v>44368</v>
      </c>
      <c r="H43" s="4"/>
      <c r="I43" s="4"/>
      <c r="J43" s="373"/>
    </row>
    <row r="44" spans="1:10">
      <c r="A44" s="388" t="s">
        <v>37</v>
      </c>
      <c r="B44" s="371" t="s">
        <v>294</v>
      </c>
      <c r="C44" s="371" t="s">
        <v>137</v>
      </c>
      <c r="D44" s="371" t="s">
        <v>275</v>
      </c>
      <c r="E44" s="3" t="s">
        <v>135</v>
      </c>
      <c r="F44" s="11">
        <v>44284</v>
      </c>
      <c r="G44" s="11">
        <v>44365</v>
      </c>
      <c r="H44" s="4"/>
      <c r="I44" s="4"/>
      <c r="J44" s="371"/>
    </row>
    <row r="45" spans="1:10">
      <c r="A45" s="389"/>
      <c r="B45" s="372"/>
      <c r="C45" s="372" t="s">
        <v>137</v>
      </c>
      <c r="D45" s="372" t="s">
        <v>275</v>
      </c>
      <c r="E45" s="3" t="s">
        <v>159</v>
      </c>
      <c r="F45" s="11">
        <v>44284</v>
      </c>
      <c r="G45" s="11">
        <v>44365</v>
      </c>
      <c r="H45" s="4"/>
      <c r="I45" s="4"/>
      <c r="J45" s="372"/>
    </row>
    <row r="46" spans="1:10">
      <c r="A46" s="389"/>
      <c r="B46" s="372"/>
      <c r="C46" s="372" t="s">
        <v>137</v>
      </c>
      <c r="D46" s="372" t="s">
        <v>275</v>
      </c>
      <c r="E46" s="3" t="s">
        <v>158</v>
      </c>
      <c r="F46" s="11">
        <v>44284</v>
      </c>
      <c r="G46" s="11">
        <v>44365</v>
      </c>
      <c r="H46" s="4"/>
      <c r="I46" s="4"/>
      <c r="J46" s="372"/>
    </row>
    <row r="47" spans="1:10">
      <c r="A47" s="390"/>
      <c r="B47" s="373"/>
      <c r="C47" s="373" t="s">
        <v>137</v>
      </c>
      <c r="D47" s="373" t="s">
        <v>275</v>
      </c>
      <c r="E47" s="3" t="s">
        <v>157</v>
      </c>
      <c r="F47" s="11">
        <v>44284</v>
      </c>
      <c r="G47" s="11">
        <v>44365</v>
      </c>
      <c r="H47" s="4"/>
      <c r="I47" s="4"/>
      <c r="J47" s="373"/>
    </row>
    <row r="48" spans="1:10">
      <c r="A48" s="388" t="s">
        <v>37</v>
      </c>
      <c r="B48" s="371" t="s">
        <v>295</v>
      </c>
      <c r="C48" s="371" t="s">
        <v>137</v>
      </c>
      <c r="D48" s="371" t="s">
        <v>275</v>
      </c>
      <c r="E48" s="3" t="s">
        <v>158</v>
      </c>
      <c r="F48" s="11">
        <v>44284</v>
      </c>
      <c r="G48" s="11">
        <v>44403</v>
      </c>
      <c r="H48" s="4"/>
      <c r="I48" s="4"/>
      <c r="J48" s="371"/>
    </row>
    <row r="49" spans="1:10">
      <c r="A49" s="390"/>
      <c r="B49" s="373"/>
      <c r="C49" s="373" t="s">
        <v>137</v>
      </c>
      <c r="D49" s="373" t="s">
        <v>275</v>
      </c>
      <c r="E49" s="3" t="s">
        <v>198</v>
      </c>
      <c r="F49" s="11">
        <v>44284</v>
      </c>
      <c r="G49" s="11">
        <v>44403</v>
      </c>
      <c r="H49" s="4"/>
      <c r="I49" s="4"/>
      <c r="J49" s="373"/>
    </row>
    <row r="50" spans="1:10">
      <c r="A50" s="388" t="s">
        <v>37</v>
      </c>
      <c r="B50" s="371" t="s">
        <v>296</v>
      </c>
      <c r="C50" s="371" t="s">
        <v>137</v>
      </c>
      <c r="D50" s="371" t="s">
        <v>275</v>
      </c>
      <c r="E50" s="3" t="s">
        <v>45</v>
      </c>
      <c r="F50" s="11">
        <v>44315</v>
      </c>
      <c r="G50" s="11">
        <v>44435</v>
      </c>
      <c r="H50" s="4"/>
      <c r="I50" s="4"/>
      <c r="J50" s="462" t="s">
        <v>300</v>
      </c>
    </row>
    <row r="51" spans="1:10">
      <c r="A51" s="390"/>
      <c r="B51" s="373"/>
      <c r="C51" s="373" t="s">
        <v>137</v>
      </c>
      <c r="D51" s="373" t="s">
        <v>275</v>
      </c>
      <c r="E51" s="3" t="s">
        <v>46</v>
      </c>
      <c r="F51" s="11">
        <v>44315</v>
      </c>
      <c r="G51" s="11">
        <v>44435</v>
      </c>
      <c r="H51" s="4"/>
      <c r="I51" s="4"/>
      <c r="J51" s="463"/>
    </row>
    <row r="52" spans="1:10">
      <c r="A52" s="24" t="s">
        <v>58</v>
      </c>
      <c r="B52" s="3" t="s">
        <v>288</v>
      </c>
      <c r="C52" s="25" t="s">
        <v>137</v>
      </c>
      <c r="D52" s="25" t="s">
        <v>275</v>
      </c>
      <c r="E52" s="3" t="s">
        <v>161</v>
      </c>
      <c r="F52" s="11">
        <v>44267</v>
      </c>
      <c r="G52" s="11">
        <v>44371</v>
      </c>
      <c r="H52" s="4"/>
      <c r="I52" s="4"/>
      <c r="J52" s="4"/>
    </row>
    <row r="53" spans="1:10">
      <c r="A53" s="24" t="s">
        <v>58</v>
      </c>
      <c r="B53" s="3" t="s">
        <v>285</v>
      </c>
      <c r="C53" s="25" t="s">
        <v>137</v>
      </c>
      <c r="D53" s="25" t="s">
        <v>275</v>
      </c>
      <c r="E53" s="3" t="s">
        <v>161</v>
      </c>
      <c r="F53" s="11">
        <v>44285</v>
      </c>
      <c r="G53" s="11">
        <v>44371</v>
      </c>
      <c r="H53" s="4"/>
      <c r="I53" s="4"/>
      <c r="J53" s="4"/>
    </row>
    <row r="54" spans="1:10">
      <c r="A54" s="24" t="s">
        <v>58</v>
      </c>
      <c r="B54" s="3" t="s">
        <v>297</v>
      </c>
      <c r="C54" s="25" t="s">
        <v>137</v>
      </c>
      <c r="D54" s="25" t="s">
        <v>275</v>
      </c>
      <c r="E54" s="3" t="s">
        <v>161</v>
      </c>
      <c r="F54" s="11">
        <v>44285</v>
      </c>
      <c r="G54" s="11">
        <v>44376</v>
      </c>
      <c r="H54" s="4"/>
      <c r="I54" s="4"/>
      <c r="J54" s="4"/>
    </row>
    <row r="55" spans="1:10">
      <c r="A55" s="24" t="s">
        <v>58</v>
      </c>
      <c r="B55" s="3" t="s">
        <v>298</v>
      </c>
      <c r="C55" s="25" t="s">
        <v>137</v>
      </c>
      <c r="D55" s="25" t="s">
        <v>275</v>
      </c>
      <c r="E55" s="3" t="s">
        <v>161</v>
      </c>
      <c r="F55" s="11">
        <v>44284</v>
      </c>
      <c r="G55" s="11">
        <v>44417</v>
      </c>
      <c r="H55" s="4"/>
      <c r="I55" s="4"/>
      <c r="J55" s="4"/>
    </row>
    <row r="56" spans="1:10">
      <c r="A56" s="22" t="s">
        <v>205</v>
      </c>
      <c r="B56" s="3" t="s">
        <v>299</v>
      </c>
      <c r="C56" s="25" t="s">
        <v>137</v>
      </c>
      <c r="D56" s="25" t="s">
        <v>275</v>
      </c>
      <c r="E56" s="3" t="s">
        <v>235</v>
      </c>
      <c r="F56" s="11">
        <v>44327</v>
      </c>
      <c r="G56" s="11">
        <v>44403</v>
      </c>
      <c r="H56" s="4"/>
      <c r="I56" s="4"/>
      <c r="J56" s="4"/>
    </row>
  </sheetData>
  <autoFilter ref="A1:J1" xr:uid="{00000000-0001-0000-0800-000000000000}"/>
  <mergeCells count="54">
    <mergeCell ref="J2:J3"/>
    <mergeCell ref="J24:J27"/>
    <mergeCell ref="J28:J31"/>
    <mergeCell ref="J32:J34"/>
    <mergeCell ref="J35:J37"/>
    <mergeCell ref="J38:J40"/>
    <mergeCell ref="J41:J43"/>
    <mergeCell ref="B28:B31"/>
    <mergeCell ref="C28:C31"/>
    <mergeCell ref="D28:D31"/>
    <mergeCell ref="B41:B43"/>
    <mergeCell ref="C41:C43"/>
    <mergeCell ref="D41:D43"/>
    <mergeCell ref="B38:B40"/>
    <mergeCell ref="C38:C40"/>
    <mergeCell ref="D38:D40"/>
    <mergeCell ref="D24:D27"/>
    <mergeCell ref="B35:B37"/>
    <mergeCell ref="C35:C37"/>
    <mergeCell ref="D35:D37"/>
    <mergeCell ref="B32:B34"/>
    <mergeCell ref="C32:C34"/>
    <mergeCell ref="D32:D34"/>
    <mergeCell ref="J50:J51"/>
    <mergeCell ref="B48:B49"/>
    <mergeCell ref="C48:C49"/>
    <mergeCell ref="D48:D49"/>
    <mergeCell ref="B44:B47"/>
    <mergeCell ref="C44:C47"/>
    <mergeCell ref="D44:D47"/>
    <mergeCell ref="J44:J47"/>
    <mergeCell ref="J48:J49"/>
    <mergeCell ref="D50:D51"/>
    <mergeCell ref="A44:A47"/>
    <mergeCell ref="A48:A49"/>
    <mergeCell ref="A50:A51"/>
    <mergeCell ref="B50:B51"/>
    <mergeCell ref="C50:C51"/>
    <mergeCell ref="A41:A43"/>
    <mergeCell ref="B2:B3"/>
    <mergeCell ref="C2:C3"/>
    <mergeCell ref="D2:D3"/>
    <mergeCell ref="A2:A3"/>
    <mergeCell ref="B17:B18"/>
    <mergeCell ref="A17:A18"/>
    <mergeCell ref="C17:C18"/>
    <mergeCell ref="D17:D18"/>
    <mergeCell ref="A24:A27"/>
    <mergeCell ref="A28:A31"/>
    <mergeCell ref="A32:A34"/>
    <mergeCell ref="A35:A37"/>
    <mergeCell ref="A38:A40"/>
    <mergeCell ref="B24:B27"/>
    <mergeCell ref="C24:C27"/>
  </mergeCells>
  <phoneticPr fontId="1" type="noConversion"/>
  <conditionalFormatting sqref="E2:F12">
    <cfRule type="expression" dxfId="3" priority="1">
      <formula>(E2-D2)&lt;61</formula>
    </cfRule>
  </conditionalFormatting>
  <dataValidations count="1">
    <dataValidation type="list" allowBlank="1" showInputMessage="1" showErrorMessage="1" sqref="A2 A4:A17 A19:A24 A28 A32 A35 A38 A41 A44 A48 A50 A52:A100" xr:uid="{00000000-0002-0000-0800-000000000000}">
      <formula1>"POST,HNCB,FCB,BOT,SKI,NET"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9"/>
  </sheetPr>
  <dimension ref="A1:J27"/>
  <sheetViews>
    <sheetView topLeftCell="A13" zoomScale="110" zoomScaleNormal="110" workbookViewId="0">
      <selection activeCell="F22" sqref="F22:F25"/>
    </sheetView>
  </sheetViews>
  <sheetFormatPr defaultColWidth="10.81640625" defaultRowHeight="17"/>
  <cols>
    <col min="1" max="1" width="10.81640625" style="2"/>
    <col min="2" max="2" width="15" style="2" customWidth="1"/>
    <col min="3" max="4" width="12.81640625" style="2" customWidth="1"/>
    <col min="5" max="6" width="16.08984375" style="2" customWidth="1"/>
    <col min="7" max="7" width="18.453125" style="2" customWidth="1"/>
    <col min="8" max="9" width="14.08984375" style="2" customWidth="1"/>
    <col min="10" max="10" width="32.6328125" style="1" customWidth="1"/>
  </cols>
  <sheetData>
    <row r="1" spans="1:10">
      <c r="A1" s="23" t="s">
        <v>0</v>
      </c>
      <c r="B1" s="23" t="s">
        <v>1</v>
      </c>
      <c r="C1" s="23" t="s">
        <v>2</v>
      </c>
      <c r="D1" s="23" t="s">
        <v>3</v>
      </c>
      <c r="E1" s="23" t="s">
        <v>8</v>
      </c>
      <c r="F1" s="23" t="s">
        <v>9</v>
      </c>
      <c r="G1" s="23" t="s">
        <v>4</v>
      </c>
      <c r="H1" s="23" t="s">
        <v>5</v>
      </c>
      <c r="I1" s="23" t="s">
        <v>6</v>
      </c>
      <c r="J1" s="23" t="s">
        <v>7</v>
      </c>
    </row>
    <row r="2" spans="1:10" ht="18">
      <c r="A2" s="18" t="s">
        <v>10</v>
      </c>
      <c r="B2" s="5" t="s">
        <v>18</v>
      </c>
      <c r="C2" s="3" t="s">
        <v>19</v>
      </c>
      <c r="D2" s="3" t="s">
        <v>20</v>
      </c>
      <c r="E2" s="6">
        <v>44371</v>
      </c>
      <c r="F2" s="6">
        <v>44434</v>
      </c>
      <c r="G2" s="7" t="s">
        <v>21</v>
      </c>
      <c r="H2" s="15" t="s">
        <v>29</v>
      </c>
      <c r="I2" s="15" t="s">
        <v>32</v>
      </c>
      <c r="J2" s="4"/>
    </row>
    <row r="3" spans="1:10" ht="18">
      <c r="A3" s="18" t="s">
        <v>10</v>
      </c>
      <c r="B3" s="5" t="s">
        <v>11</v>
      </c>
      <c r="C3" s="3" t="s">
        <v>19</v>
      </c>
      <c r="D3" s="3" t="s">
        <v>20</v>
      </c>
      <c r="E3" s="6">
        <v>44371</v>
      </c>
      <c r="F3" s="6">
        <v>44434</v>
      </c>
      <c r="G3" s="7" t="s">
        <v>21</v>
      </c>
      <c r="H3" s="15" t="s">
        <v>29</v>
      </c>
      <c r="I3" s="15" t="s">
        <v>32</v>
      </c>
      <c r="J3" s="4"/>
    </row>
    <row r="4" spans="1:10" ht="18">
      <c r="A4" s="18" t="s">
        <v>10</v>
      </c>
      <c r="B4" s="5" t="s">
        <v>12</v>
      </c>
      <c r="C4" s="3" t="s">
        <v>19</v>
      </c>
      <c r="D4" s="3" t="s">
        <v>20</v>
      </c>
      <c r="E4" s="6">
        <v>44346</v>
      </c>
      <c r="F4" s="6">
        <v>44434</v>
      </c>
      <c r="G4" s="7" t="s">
        <v>22</v>
      </c>
      <c r="H4" s="16" t="s">
        <v>30</v>
      </c>
      <c r="I4" s="16" t="s">
        <v>31</v>
      </c>
      <c r="J4" s="4"/>
    </row>
    <row r="5" spans="1:10" ht="18">
      <c r="A5" s="18" t="s">
        <v>10</v>
      </c>
      <c r="B5" s="5" t="s">
        <v>13</v>
      </c>
      <c r="C5" s="3" t="s">
        <v>19</v>
      </c>
      <c r="D5" s="3" t="s">
        <v>20</v>
      </c>
      <c r="E5" s="6">
        <v>44371</v>
      </c>
      <c r="F5" s="6">
        <v>44434</v>
      </c>
      <c r="G5" s="7" t="s">
        <v>21</v>
      </c>
      <c r="H5" s="15" t="s">
        <v>29</v>
      </c>
      <c r="I5" s="15" t="s">
        <v>32</v>
      </c>
      <c r="J5" s="4"/>
    </row>
    <row r="6" spans="1:10" ht="18">
      <c r="A6" s="385" t="s">
        <v>10</v>
      </c>
      <c r="B6" s="464" t="s">
        <v>14</v>
      </c>
      <c r="C6" s="371" t="s">
        <v>19</v>
      </c>
      <c r="D6" s="371" t="s">
        <v>20</v>
      </c>
      <c r="E6" s="6"/>
      <c r="F6" s="6">
        <v>44399</v>
      </c>
      <c r="G6" s="7" t="s">
        <v>23</v>
      </c>
      <c r="H6" s="15" t="s">
        <v>33</v>
      </c>
      <c r="I6" s="15" t="s">
        <v>34</v>
      </c>
      <c r="J6" s="4"/>
    </row>
    <row r="7" spans="1:10" ht="18">
      <c r="A7" s="386"/>
      <c r="B7" s="465"/>
      <c r="C7" s="373"/>
      <c r="D7" s="373"/>
      <c r="E7" s="6"/>
      <c r="F7" s="6">
        <v>44399</v>
      </c>
      <c r="G7" s="7" t="s">
        <v>139</v>
      </c>
      <c r="H7" s="16" t="s">
        <v>30</v>
      </c>
      <c r="I7" s="16" t="s">
        <v>31</v>
      </c>
      <c r="J7" s="4"/>
    </row>
    <row r="8" spans="1:10" ht="18">
      <c r="A8" s="18" t="s">
        <v>10</v>
      </c>
      <c r="B8" s="5" t="s">
        <v>15</v>
      </c>
      <c r="C8" s="3" t="s">
        <v>19</v>
      </c>
      <c r="D8" s="3" t="s">
        <v>20</v>
      </c>
      <c r="E8" s="6">
        <v>44371</v>
      </c>
      <c r="F8" s="6">
        <v>44434</v>
      </c>
      <c r="G8" s="7" t="s">
        <v>21</v>
      </c>
      <c r="H8" s="15" t="s">
        <v>29</v>
      </c>
      <c r="I8" s="15" t="s">
        <v>32</v>
      </c>
      <c r="J8" s="4"/>
    </row>
    <row r="9" spans="1:10" ht="18">
      <c r="A9" s="18" t="s">
        <v>10</v>
      </c>
      <c r="B9" s="5" t="s">
        <v>16</v>
      </c>
      <c r="C9" s="3" t="s">
        <v>19</v>
      </c>
      <c r="D9" s="3" t="s">
        <v>20</v>
      </c>
      <c r="E9" s="6">
        <v>44371</v>
      </c>
      <c r="F9" s="6">
        <v>44434</v>
      </c>
      <c r="G9" s="7" t="s">
        <v>21</v>
      </c>
      <c r="H9" s="15" t="s">
        <v>29</v>
      </c>
      <c r="I9" s="15" t="s">
        <v>32</v>
      </c>
      <c r="J9" s="4"/>
    </row>
    <row r="10" spans="1:10" ht="18">
      <c r="A10" s="18" t="s">
        <v>10</v>
      </c>
      <c r="B10" s="5" t="s">
        <v>17</v>
      </c>
      <c r="C10" s="3" t="s">
        <v>19</v>
      </c>
      <c r="D10" s="3" t="s">
        <v>20</v>
      </c>
      <c r="E10" s="6">
        <v>44346</v>
      </c>
      <c r="F10" s="6">
        <v>44434</v>
      </c>
      <c r="G10" s="7" t="s">
        <v>22</v>
      </c>
      <c r="H10" s="16" t="s">
        <v>30</v>
      </c>
      <c r="I10" s="16" t="s">
        <v>31</v>
      </c>
      <c r="J10" s="4"/>
    </row>
    <row r="11" spans="1:10" ht="18">
      <c r="A11" s="19" t="s">
        <v>24</v>
      </c>
      <c r="B11" s="5" t="s">
        <v>25</v>
      </c>
      <c r="C11" s="3" t="s">
        <v>19</v>
      </c>
      <c r="D11" s="3" t="s">
        <v>20</v>
      </c>
      <c r="E11" s="6">
        <v>44308</v>
      </c>
      <c r="F11" s="6">
        <v>44434</v>
      </c>
      <c r="G11" s="7" t="s">
        <v>28</v>
      </c>
      <c r="H11" s="15" t="s">
        <v>35</v>
      </c>
      <c r="I11" s="15" t="s">
        <v>36</v>
      </c>
      <c r="J11" s="4"/>
    </row>
    <row r="12" spans="1:10" ht="18">
      <c r="A12" s="19" t="s">
        <v>24</v>
      </c>
      <c r="B12" s="5" t="s">
        <v>26</v>
      </c>
      <c r="C12" s="3" t="s">
        <v>19</v>
      </c>
      <c r="D12" s="3" t="s">
        <v>20</v>
      </c>
      <c r="E12" s="6">
        <v>44207</v>
      </c>
      <c r="F12" s="6">
        <v>44434</v>
      </c>
      <c r="G12" s="7" t="s">
        <v>28</v>
      </c>
      <c r="H12" s="15" t="s">
        <v>35</v>
      </c>
      <c r="I12" s="15" t="s">
        <v>36</v>
      </c>
      <c r="J12" s="4"/>
    </row>
    <row r="13" spans="1:10" ht="18">
      <c r="A13" s="19" t="s">
        <v>24</v>
      </c>
      <c r="B13" s="5" t="s">
        <v>27</v>
      </c>
      <c r="C13" s="3" t="s">
        <v>19</v>
      </c>
      <c r="D13" s="3" t="s">
        <v>20</v>
      </c>
      <c r="E13" s="6">
        <v>44328</v>
      </c>
      <c r="F13" s="6">
        <v>44428</v>
      </c>
      <c r="G13" s="7" t="s">
        <v>28</v>
      </c>
      <c r="H13" s="15" t="s">
        <v>35</v>
      </c>
      <c r="I13" s="15" t="s">
        <v>36</v>
      </c>
      <c r="J13" s="4"/>
    </row>
    <row r="14" spans="1:10" ht="18">
      <c r="A14" s="388" t="s">
        <v>37</v>
      </c>
      <c r="B14" s="464" t="s">
        <v>38</v>
      </c>
      <c r="C14" s="371" t="s">
        <v>19</v>
      </c>
      <c r="D14" s="371" t="s">
        <v>20</v>
      </c>
      <c r="E14" s="6">
        <v>44399</v>
      </c>
      <c r="F14" s="6">
        <v>44476</v>
      </c>
      <c r="G14" s="7" t="s">
        <v>42</v>
      </c>
      <c r="H14" s="15" t="s">
        <v>56</v>
      </c>
      <c r="I14" s="15" t="s">
        <v>57</v>
      </c>
      <c r="J14" s="4"/>
    </row>
    <row r="15" spans="1:10" ht="18">
      <c r="A15" s="389"/>
      <c r="B15" s="466"/>
      <c r="C15" s="372"/>
      <c r="D15" s="372"/>
      <c r="E15" s="6">
        <v>44399</v>
      </c>
      <c r="F15" s="6">
        <v>44476</v>
      </c>
      <c r="G15" s="7" t="s">
        <v>43</v>
      </c>
      <c r="H15" s="15" t="s">
        <v>48</v>
      </c>
      <c r="I15" s="15" t="s">
        <v>49</v>
      </c>
      <c r="J15" s="4"/>
    </row>
    <row r="16" spans="1:10" ht="18">
      <c r="A16" s="389"/>
      <c r="B16" s="466"/>
      <c r="C16" s="372"/>
      <c r="D16" s="372"/>
      <c r="E16" s="6">
        <v>44399</v>
      </c>
      <c r="F16" s="6">
        <v>44476</v>
      </c>
      <c r="G16" s="7" t="s">
        <v>44</v>
      </c>
      <c r="H16" s="15" t="s">
        <v>50</v>
      </c>
      <c r="I16" s="15" t="s">
        <v>51</v>
      </c>
      <c r="J16" s="4"/>
    </row>
    <row r="17" spans="1:10" ht="18">
      <c r="A17" s="390"/>
      <c r="B17" s="465"/>
      <c r="C17" s="373"/>
      <c r="D17" s="373"/>
      <c r="E17" s="6">
        <v>44399</v>
      </c>
      <c r="F17" s="6">
        <v>44476</v>
      </c>
      <c r="G17" s="7" t="s">
        <v>45</v>
      </c>
      <c r="H17" s="15" t="s">
        <v>52</v>
      </c>
      <c r="I17" s="15" t="s">
        <v>53</v>
      </c>
      <c r="J17" s="4"/>
    </row>
    <row r="18" spans="1:10" ht="18">
      <c r="A18" s="388" t="s">
        <v>37</v>
      </c>
      <c r="B18" s="464" t="s">
        <v>39</v>
      </c>
      <c r="C18" s="464" t="s">
        <v>63</v>
      </c>
      <c r="D18" s="464" t="s">
        <v>20</v>
      </c>
      <c r="E18" s="6">
        <v>44386</v>
      </c>
      <c r="F18" s="3"/>
      <c r="G18" s="7" t="s">
        <v>45</v>
      </c>
      <c r="H18" s="15" t="s">
        <v>52</v>
      </c>
      <c r="I18" s="15" t="s">
        <v>53</v>
      </c>
      <c r="J18" s="4"/>
    </row>
    <row r="19" spans="1:10" ht="18">
      <c r="A19" s="390"/>
      <c r="B19" s="465"/>
      <c r="C19" s="465" t="s">
        <v>19</v>
      </c>
      <c r="D19" s="465" t="s">
        <v>20</v>
      </c>
      <c r="E19" s="6">
        <v>44386</v>
      </c>
      <c r="F19" s="3"/>
      <c r="G19" s="7" t="s">
        <v>46</v>
      </c>
      <c r="H19" s="15" t="s">
        <v>54</v>
      </c>
      <c r="I19" s="15" t="s">
        <v>55</v>
      </c>
      <c r="J19" s="4"/>
    </row>
    <row r="20" spans="1:10" ht="18">
      <c r="A20" s="388" t="s">
        <v>37</v>
      </c>
      <c r="B20" s="464" t="s">
        <v>40</v>
      </c>
      <c r="C20" s="464" t="s">
        <v>63</v>
      </c>
      <c r="D20" s="464" t="s">
        <v>20</v>
      </c>
      <c r="E20" s="6">
        <v>44386</v>
      </c>
      <c r="F20" s="6">
        <v>44476</v>
      </c>
      <c r="G20" s="7" t="s">
        <v>44</v>
      </c>
      <c r="H20" s="15" t="s">
        <v>50</v>
      </c>
      <c r="I20" s="15" t="s">
        <v>51</v>
      </c>
      <c r="J20" s="4"/>
    </row>
    <row r="21" spans="1:10" ht="18">
      <c r="A21" s="390"/>
      <c r="B21" s="465"/>
      <c r="C21" s="465" t="s">
        <v>19</v>
      </c>
      <c r="D21" s="465" t="s">
        <v>20</v>
      </c>
      <c r="E21" s="6">
        <v>44386</v>
      </c>
      <c r="F21" s="6">
        <v>44476</v>
      </c>
      <c r="G21" s="7" t="s">
        <v>45</v>
      </c>
      <c r="H21" s="15" t="s">
        <v>52</v>
      </c>
      <c r="I21" s="15" t="s">
        <v>53</v>
      </c>
      <c r="J21" s="4"/>
    </row>
    <row r="22" spans="1:10" ht="18">
      <c r="A22" s="388" t="s">
        <v>37</v>
      </c>
      <c r="B22" s="464" t="s">
        <v>41</v>
      </c>
      <c r="C22" s="464" t="s">
        <v>63</v>
      </c>
      <c r="D22" s="464" t="s">
        <v>20</v>
      </c>
      <c r="E22" s="6">
        <v>44386</v>
      </c>
      <c r="F22" s="6">
        <v>44476</v>
      </c>
      <c r="G22" s="7" t="s">
        <v>47</v>
      </c>
      <c r="H22" s="15" t="s">
        <v>52</v>
      </c>
      <c r="I22" s="15" t="s">
        <v>53</v>
      </c>
      <c r="J22" s="4"/>
    </row>
    <row r="23" spans="1:10" ht="18">
      <c r="A23" s="389"/>
      <c r="B23" s="466"/>
      <c r="C23" s="466" t="s">
        <v>19</v>
      </c>
      <c r="D23" s="466" t="s">
        <v>20</v>
      </c>
      <c r="E23" s="6">
        <v>44386</v>
      </c>
      <c r="F23" s="6">
        <v>44476</v>
      </c>
      <c r="G23" s="7" t="s">
        <v>43</v>
      </c>
      <c r="H23" s="15" t="s">
        <v>48</v>
      </c>
      <c r="I23" s="15" t="s">
        <v>49</v>
      </c>
      <c r="J23" s="4"/>
    </row>
    <row r="24" spans="1:10" ht="18">
      <c r="A24" s="389"/>
      <c r="B24" s="466"/>
      <c r="C24" s="466" t="s">
        <v>19</v>
      </c>
      <c r="D24" s="466" t="s">
        <v>20</v>
      </c>
      <c r="E24" s="6">
        <v>44386</v>
      </c>
      <c r="F24" s="6">
        <v>44476</v>
      </c>
      <c r="G24" s="7" t="s">
        <v>44</v>
      </c>
      <c r="H24" s="15" t="s">
        <v>50</v>
      </c>
      <c r="I24" s="15" t="s">
        <v>51</v>
      </c>
      <c r="J24" s="4"/>
    </row>
    <row r="25" spans="1:10" ht="18">
      <c r="A25" s="390"/>
      <c r="B25" s="465"/>
      <c r="C25" s="465" t="s">
        <v>19</v>
      </c>
      <c r="D25" s="465" t="s">
        <v>20</v>
      </c>
      <c r="E25" s="6">
        <v>44386</v>
      </c>
      <c r="F25" s="6">
        <v>44476</v>
      </c>
      <c r="G25" s="7" t="s">
        <v>45</v>
      </c>
      <c r="H25" s="15" t="s">
        <v>52</v>
      </c>
      <c r="I25" s="15" t="s">
        <v>53</v>
      </c>
      <c r="J25" s="4"/>
    </row>
    <row r="26" spans="1:10" ht="18">
      <c r="A26" s="24" t="s">
        <v>58</v>
      </c>
      <c r="B26" s="5" t="s">
        <v>26</v>
      </c>
      <c r="C26" s="3" t="s">
        <v>19</v>
      </c>
      <c r="D26" s="3" t="s">
        <v>20</v>
      </c>
      <c r="E26" s="6">
        <v>44323</v>
      </c>
      <c r="F26" s="6">
        <v>44434</v>
      </c>
      <c r="G26" s="7" t="s">
        <v>60</v>
      </c>
      <c r="H26" s="15" t="s">
        <v>61</v>
      </c>
      <c r="I26" s="15" t="s">
        <v>62</v>
      </c>
      <c r="J26" s="4"/>
    </row>
    <row r="27" spans="1:10" ht="18">
      <c r="A27" s="24" t="s">
        <v>58</v>
      </c>
      <c r="B27" s="5" t="s">
        <v>59</v>
      </c>
      <c r="C27" s="3" t="s">
        <v>19</v>
      </c>
      <c r="D27" s="3" t="s">
        <v>20</v>
      </c>
      <c r="E27" s="6">
        <v>44323</v>
      </c>
      <c r="F27" s="6">
        <v>44434</v>
      </c>
      <c r="G27" s="7" t="s">
        <v>60</v>
      </c>
      <c r="H27" s="15" t="s">
        <v>61</v>
      </c>
      <c r="I27" s="15" t="s">
        <v>62</v>
      </c>
      <c r="J27" s="4"/>
    </row>
  </sheetData>
  <autoFilter ref="A1:J1" xr:uid="{00000000-0001-0000-0900-000000000000}"/>
  <mergeCells count="20">
    <mergeCell ref="B22:B25"/>
    <mergeCell ref="C22:C25"/>
    <mergeCell ref="D22:D25"/>
    <mergeCell ref="A22:A25"/>
    <mergeCell ref="B18:B19"/>
    <mergeCell ref="C18:C19"/>
    <mergeCell ref="D18:D19"/>
    <mergeCell ref="A18:A19"/>
    <mergeCell ref="B20:B21"/>
    <mergeCell ref="C20:C21"/>
    <mergeCell ref="D20:D21"/>
    <mergeCell ref="A20:A21"/>
    <mergeCell ref="B6:B7"/>
    <mergeCell ref="C6:C7"/>
    <mergeCell ref="D6:D7"/>
    <mergeCell ref="A6:A7"/>
    <mergeCell ref="B14:B17"/>
    <mergeCell ref="C14:C17"/>
    <mergeCell ref="D14:D17"/>
    <mergeCell ref="A14:A17"/>
  </mergeCells>
  <phoneticPr fontId="1" type="noConversion"/>
  <conditionalFormatting sqref="E2:E10">
    <cfRule type="expression" dxfId="2" priority="2">
      <formula>(E2-D2)&lt;61</formula>
    </cfRule>
  </conditionalFormatting>
  <conditionalFormatting sqref="F2:F12">
    <cfRule type="expression" dxfId="1" priority="1">
      <formula>(F2-E2)&lt;61</formula>
    </cfRule>
  </conditionalFormatting>
  <conditionalFormatting sqref="F26:F27">
    <cfRule type="expression" dxfId="0" priority="3">
      <formula>(F26-E26)&lt;61</formula>
    </cfRule>
  </conditionalFormatting>
  <dataValidations count="2">
    <dataValidation type="list" allowBlank="1" showInputMessage="1" showErrorMessage="1" sqref="A8:A14 A2:A6 A18 A20 A22 A26:A100" xr:uid="{00000000-0002-0000-0900-000000000000}">
      <formula1>"POST,HNCB,FCB,BOT,SKI,NET"</formula1>
    </dataValidation>
    <dataValidation type="list" allowBlank="1" showInputMessage="1" showErrorMessage="1" sqref="C2:C6 C8:C14 C18:C27" xr:uid="{00000000-0002-0000-0900-000001000000}">
      <formula1>"台北市"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大安區</vt:lpstr>
      <vt:lpstr>信義</vt:lpstr>
      <vt:lpstr>萬華</vt:lpstr>
      <vt:lpstr>文山區</vt:lpstr>
      <vt:lpstr>新店</vt:lpstr>
      <vt:lpstr>南港</vt:lpstr>
      <vt:lpstr>汐止</vt:lpstr>
      <vt:lpstr>內湖</vt:lpstr>
      <vt:lpstr>山區</vt:lpstr>
      <vt:lpstr>基隆</vt:lpstr>
      <vt:lpstr>內湖區</vt:lpstr>
      <vt:lpstr>中正區</vt:lpstr>
      <vt:lpstr>大同區</vt:lpstr>
      <vt:lpstr>信義區</vt:lpstr>
      <vt:lpstr>中山區</vt:lpstr>
      <vt:lpstr>松山區</vt:lpstr>
      <vt:lpstr>萬華區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雷以諾(Arnold Lei)</cp:lastModifiedBy>
  <cp:lastPrinted>2022-05-04T02:47:08Z</cp:lastPrinted>
  <dcterms:created xsi:type="dcterms:W3CDTF">2021-08-25T09:56:44Z</dcterms:created>
  <dcterms:modified xsi:type="dcterms:W3CDTF">2025-05-21T07:28:16Z</dcterms:modified>
</cp:coreProperties>
</file>